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OBs" sheetId="1" state="visible" r:id="rId3"/>
    <sheet name="Payments made to SPRX-CCRX" sheetId="2" state="visible" r:id="rId4"/>
    <sheet name="Estimated Salary Expenses" sheetId="3" state="visible" r:id="rId5"/>
    <sheet name="Sheet2" sheetId="4" state="visible" r:id="rId6"/>
    <sheet name="Combined Data-Payments and Expe" sheetId="5" state="visible" r:id="rId7"/>
  </sheets>
  <definedNames>
    <definedName function="false" hidden="true" localSheetId="4" name="_xlnm._FilterDatabase" vbProcedure="false">'Combined Data-Payments and Expe'!$A$1:$S$134</definedName>
    <definedName function="false" hidden="true" localSheetId="0" name="_xlnm._FilterDatabase" vbProcedure="false">EOBs!$A$1:$M$151</definedName>
    <definedName function="false" hidden="true" localSheetId="2" name="_xlnm._FilterDatabase" vbProcedure="false">'Estimated Salary Expenses'!$A$1:$C$10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<sst xmlns="http://schemas.openxmlformats.org/spreadsheetml/2006/main" count="787" uniqueCount="262">
  <si>
    <t xml:space="preserve">Patient</t>
  </si>
  <si>
    <t xml:space="preserve">Service Date(s)</t>
  </si>
  <si>
    <t xml:space="preserve">Last Service Date</t>
  </si>
  <si>
    <t xml:space="preserve">Billed Date</t>
  </si>
  <si>
    <t xml:space="preserve">Paid Date</t>
  </si>
  <si>
    <t xml:space="preserve">Days to Pay</t>
  </si>
  <si>
    <t xml:space="preserve"># of Infusions</t>
  </si>
  <si>
    <t xml:space="preserve">Paid Amount</t>
  </si>
  <si>
    <t xml:space="preserve">Insurance</t>
  </si>
  <si>
    <t xml:space="preserve">Paid/Infusion</t>
  </si>
  <si>
    <t xml:space="preserve">Notes</t>
  </si>
  <si>
    <t xml:space="preserve">Total Cash Received by HUMC</t>
  </si>
  <si>
    <t xml:space="preserve">Hagen, William</t>
  </si>
  <si>
    <t xml:space="preserve">7/1/2025-7/31/2025</t>
  </si>
  <si>
    <t xml:space="preserve">8/15/2025</t>
  </si>
  <si>
    <t xml:space="preserve">Moscato, Salvatore</t>
  </si>
  <si>
    <t xml:space="preserve">7/1 7/15 7/29</t>
  </si>
  <si>
    <t xml:space="preserve">8/14/2025</t>
  </si>
  <si>
    <t xml:space="preserve">Clay, Robert</t>
  </si>
  <si>
    <t xml:space="preserve">7/1/2025 7/15 7/29</t>
  </si>
  <si>
    <t xml:space="preserve">9/12/2025</t>
  </si>
  <si>
    <t xml:space="preserve">Gambony,Martin</t>
  </si>
  <si>
    <t xml:space="preserve">6/16/2025-6/30/2025</t>
  </si>
  <si>
    <t xml:space="preserve">8/20/2025</t>
  </si>
  <si>
    <t xml:space="preserve">Bauer, Jeffrey</t>
  </si>
  <si>
    <t xml:space="preserve">6/12/2025-6/30/2025</t>
  </si>
  <si>
    <t xml:space="preserve">8/5/2025</t>
  </si>
  <si>
    <t xml:space="preserve">Ambrosio,Francesco</t>
  </si>
  <si>
    <t xml:space="preserve">6/2/2025-6/30/2025</t>
  </si>
  <si>
    <t xml:space="preserve">8/9/2025</t>
  </si>
  <si>
    <t xml:space="preserve">7/14/2025-7/31/2025</t>
  </si>
  <si>
    <t xml:space="preserve">8/11/2025-8/31/2025</t>
  </si>
  <si>
    <t xml:space="preserve">10/14/2025</t>
  </si>
  <si>
    <t xml:space="preserve">8/8/2025</t>
  </si>
  <si>
    <t xml:space="preserve">5/15/2025-5/31/2025</t>
  </si>
  <si>
    <t xml:space="preserve">Riberia, Ernesto</t>
  </si>
  <si>
    <t xml:space="preserve">8/6/2025</t>
  </si>
  <si>
    <t xml:space="preserve">Cerrigone,Girolamo</t>
  </si>
  <si>
    <t xml:space="preserve">8/4/2025</t>
  </si>
  <si>
    <t xml:space="preserve">9/19/2025</t>
  </si>
  <si>
    <t xml:space="preserve">11/4/2025</t>
  </si>
  <si>
    <t xml:space="preserve">12/5/2025</t>
  </si>
  <si>
    <t xml:space="preserve">12/8/2025</t>
  </si>
  <si>
    <t xml:space="preserve">1/5/2026</t>
  </si>
  <si>
    <t xml:space="preserve">1/20/2026</t>
  </si>
  <si>
    <t xml:space="preserve">9/9/2025</t>
  </si>
  <si>
    <t xml:space="preserve">10/27/2025</t>
  </si>
  <si>
    <t xml:space="preserve">9/29/2025</t>
  </si>
  <si>
    <t xml:space="preserve">11/6/2025</t>
  </si>
  <si>
    <t xml:space="preserve">11/7/2025</t>
  </si>
  <si>
    <t xml:space="preserve">11/24/2025</t>
  </si>
  <si>
    <t xml:space="preserve">12/12/2025</t>
  </si>
  <si>
    <t xml:space="preserve">7/17/2025</t>
  </si>
  <si>
    <t xml:space="preserve">9/25/2025</t>
  </si>
  <si>
    <t xml:space="preserve">8/18/2025</t>
  </si>
  <si>
    <t xml:space="preserve">9/26/2025</t>
  </si>
  <si>
    <t xml:space="preserve">10/25/2025</t>
  </si>
  <si>
    <t xml:space="preserve">8/27/2025</t>
  </si>
  <si>
    <t xml:space="preserve">10/18/2025</t>
  </si>
  <si>
    <t xml:space="preserve">7/16/2025</t>
  </si>
  <si>
    <t xml:space="preserve">9/4/2025</t>
  </si>
  <si>
    <t xml:space="preserve">12/18/2025</t>
  </si>
  <si>
    <t xml:space="preserve">1/6/2026</t>
  </si>
  <si>
    <t xml:space="preserve">11/20/2025</t>
  </si>
  <si>
    <t xml:space="preserve">12/20/25</t>
  </si>
  <si>
    <t xml:space="preserve">12/19/2025</t>
  </si>
  <si>
    <t xml:space="preserve">10/1/2025</t>
  </si>
  <si>
    <t xml:space="preserve">Amgen</t>
  </si>
  <si>
    <t xml:space="preserve">TAF</t>
  </si>
  <si>
    <t xml:space="preserve">Comments</t>
  </si>
  <si>
    <t xml:space="preserve">9/17/2025</t>
  </si>
  <si>
    <t xml:space="preserve">10/17/2025</t>
  </si>
  <si>
    <t xml:space="preserve">9/24/2025</t>
  </si>
  <si>
    <t xml:space="preserve">10/22/2025</t>
  </si>
  <si>
    <t xml:space="preserve">2396 to be billed to AMGEN to TF Cares</t>
  </si>
  <si>
    <t xml:space="preserve">10/15/2025</t>
  </si>
  <si>
    <t xml:space="preserve">10/28/2025</t>
  </si>
  <si>
    <t xml:space="preserve">11/1/2025</t>
  </si>
  <si>
    <t xml:space="preserve">9/11/2025</t>
  </si>
  <si>
    <t xml:space="preserve">Need to rebill for Ilaris</t>
  </si>
  <si>
    <t xml:space="preserve">10/29/2025</t>
  </si>
  <si>
    <t xml:space="preserve">11/12/2025</t>
  </si>
  <si>
    <t xml:space="preserve">11/15/2025</t>
  </si>
  <si>
    <t xml:space="preserve">1867 to be billed to AMGEN to TF Cares</t>
  </si>
  <si>
    <t xml:space="preserve">11/5/2025</t>
  </si>
  <si>
    <t xml:space="preserve">11/18/2025</t>
  </si>
  <si>
    <t xml:space="preserve">9/3/2025</t>
  </si>
  <si>
    <t xml:space="preserve">11/21/2025</t>
  </si>
  <si>
    <t xml:space="preserve">11/19/2025</t>
  </si>
  <si>
    <t xml:space="preserve">11/29/2025</t>
  </si>
  <si>
    <t xml:space="preserve">12/02/2025</t>
  </si>
  <si>
    <t xml:space="preserve">10/30/2025</t>
  </si>
  <si>
    <t xml:space="preserve">12/1/2025</t>
  </si>
  <si>
    <t xml:space="preserve">11/13/2025</t>
  </si>
  <si>
    <t xml:space="preserve">12/15/2025</t>
  </si>
  <si>
    <t xml:space="preserve">12/4/2025</t>
  </si>
  <si>
    <t xml:space="preserve">12/16/2025</t>
  </si>
  <si>
    <t xml:space="preserve">2296 to be billed by Amgen to TF Cares</t>
  </si>
  <si>
    <t xml:space="preserve">10/8/2025</t>
  </si>
  <si>
    <t xml:space="preserve">12/26/2025</t>
  </si>
  <si>
    <t xml:space="preserve">9/23/2025</t>
  </si>
  <si>
    <t xml:space="preserve">10/4/2025</t>
  </si>
  <si>
    <t xml:space="preserve">10/23/2025</t>
  </si>
  <si>
    <t xml:space="preserve">12/31/25</t>
  </si>
  <si>
    <t xml:space="preserve">8/26/2025</t>
  </si>
  <si>
    <t xml:space="preserve">10/9/2025</t>
  </si>
  <si>
    <t xml:space="preserve">09/25/2025</t>
  </si>
  <si>
    <t xml:space="preserve">8/13/2025</t>
  </si>
  <si>
    <t xml:space="preserve">9/20/2025</t>
  </si>
  <si>
    <t xml:space="preserve">8/12/2025</t>
  </si>
  <si>
    <t xml:space="preserve">1/3/2026</t>
  </si>
  <si>
    <t xml:space="preserve">COINSURANCE</t>
  </si>
  <si>
    <t xml:space="preserve">10/11/2025</t>
  </si>
  <si>
    <t xml:space="preserve">EOB not available yet</t>
  </si>
  <si>
    <t xml:space="preserve">5/31/2025</t>
  </si>
  <si>
    <t xml:space="preserve">1/06/2026</t>
  </si>
  <si>
    <t xml:space="preserve">1/05/2026</t>
  </si>
  <si>
    <t xml:space="preserve">1/15/2026</t>
  </si>
  <si>
    <t xml:space="preserve">Capalado</t>
  </si>
  <si>
    <t xml:space="preserve">12/23/2025</t>
  </si>
  <si>
    <t xml:space="preserve">1/16/2026</t>
  </si>
  <si>
    <t xml:space="preserve">12/9/2025</t>
  </si>
  <si>
    <t xml:space="preserve">1/2/2026</t>
  </si>
  <si>
    <t xml:space="preserve">6/17/2025</t>
  </si>
  <si>
    <t xml:space="preserve">7/14/2025</t>
  </si>
  <si>
    <t xml:space="preserve">9/2/2025</t>
  </si>
  <si>
    <t xml:space="preserve">Regans, Marlana</t>
  </si>
  <si>
    <t xml:space="preserve">1/18/2026</t>
  </si>
  <si>
    <t xml:space="preserve">12/24/2025</t>
  </si>
  <si>
    <t xml:space="preserve">1/10/2026</t>
  </si>
  <si>
    <t xml:space="preserve">NO CHARGES</t>
  </si>
  <si>
    <t xml:space="preserve">12/2/2025</t>
  </si>
  <si>
    <t xml:space="preserve">CONFIRM IF ILARIS WAS DONE - NEED TO BILL URGENT</t>
  </si>
  <si>
    <t xml:space="preserve">12/28/2025</t>
  </si>
  <si>
    <t xml:space="preserve">Payment but NO EOB- requested EOB's</t>
  </si>
  <si>
    <t xml:space="preserve">12/6/2025</t>
  </si>
  <si>
    <t xml:space="preserve">12/22/2025</t>
  </si>
  <si>
    <t xml:space="preserve">Per Amgen - patient is not enrolled. Need to bill Amgen by your side OR TAF for balance-</t>
  </si>
  <si>
    <t xml:space="preserve">9/16/2025</t>
  </si>
  <si>
    <t xml:space="preserve">9/10/2025</t>
  </si>
  <si>
    <t xml:space="preserve">10/21/2025</t>
  </si>
  <si>
    <t xml:space="preserve">1/7/2026</t>
  </si>
  <si>
    <t xml:space="preserve">2/7/2026</t>
  </si>
  <si>
    <t xml:space="preserve">10/7/2025</t>
  </si>
  <si>
    <t xml:space="preserve">11/10/2025</t>
  </si>
  <si>
    <t xml:space="preserve">1/21/2026</t>
  </si>
  <si>
    <t xml:space="preserve">11/14/2025</t>
  </si>
  <si>
    <t xml:space="preserve">EOB NOT AVAILABLE YET</t>
  </si>
  <si>
    <t xml:space="preserve">8/29/2025</t>
  </si>
  <si>
    <t xml:space="preserve">11/17/2025</t>
  </si>
  <si>
    <t xml:space="preserve">10/09/2025</t>
  </si>
  <si>
    <t xml:space="preserve">9/15/2025</t>
  </si>
  <si>
    <t xml:space="preserve">10/16/2025</t>
  </si>
  <si>
    <t xml:space="preserve">Sent EOB over to Amgen for payment</t>
  </si>
  <si>
    <t xml:space="preserve">10/13/2025</t>
  </si>
  <si>
    <t xml:space="preserve">Riberia</t>
  </si>
  <si>
    <t xml:space="preserve">INVESTIGATE PAYMENT DELAY</t>
  </si>
  <si>
    <t xml:space="preserve">Union – Ilaris</t>
  </si>
  <si>
    <t xml:space="preserve">waiting for claim to process</t>
  </si>
  <si>
    <t xml:space="preserve">Union</t>
  </si>
  <si>
    <t xml:space="preserve">ILARIS DONE BUT REJECTED - NEED TO REBILL</t>
  </si>
  <si>
    <t xml:space="preserve">Hagen</t>
  </si>
  <si>
    <t xml:space="preserve">Waiting for Payment</t>
  </si>
  <si>
    <t xml:space="preserve">BCBS Out of State</t>
  </si>
  <si>
    <t xml:space="preserve">Get EOB</t>
  </si>
  <si>
    <t xml:space="preserve">Cerrigone</t>
  </si>
  <si>
    <t xml:space="preserve">01/06/2026</t>
  </si>
  <si>
    <t xml:space="preserve">EMAILED REP TO F/U</t>
  </si>
  <si>
    <t xml:space="preserve">01/20/2026</t>
  </si>
  <si>
    <t xml:space="preserve">Regans</t>
  </si>
  <si>
    <t xml:space="preserve">02/10/2026</t>
  </si>
  <si>
    <t xml:space="preserve">Ribeira</t>
  </si>
  <si>
    <t xml:space="preserve">02/11/2026</t>
  </si>
  <si>
    <t xml:space="preserve">Barreto-Santiago</t>
  </si>
  <si>
    <t xml:space="preserve">02/13/2026</t>
  </si>
  <si>
    <t xml:space="preserve">02/16/2026</t>
  </si>
  <si>
    <t xml:space="preserve">Gambony</t>
  </si>
  <si>
    <t xml:space="preserve">02/17/2026</t>
  </si>
  <si>
    <t xml:space="preserve">Capaldo</t>
  </si>
  <si>
    <t xml:space="preserve">1/14/2026</t>
  </si>
  <si>
    <t xml:space="preserve">1/23/2026</t>
  </si>
  <si>
    <t xml:space="preserve">Need to correct and rebill Service Units (8 not 16)- CORRECTED CLAIM WENT OUT ON 1/19/2026- ALLOW TIME FOR PROCESSING</t>
  </si>
  <si>
    <t xml:space="preserve">1/28/2026</t>
  </si>
  <si>
    <t xml:space="preserve">1/9/2026</t>
  </si>
  <si>
    <t xml:space="preserve">11/26/2025</t>
  </si>
  <si>
    <t xml:space="preserve">12/10/2025</t>
  </si>
  <si>
    <t xml:space="preserve">12/30/2025</t>
  </si>
  <si>
    <t xml:space="preserve">Need to investigate- The following claim has been sent back for reprocessing due to underpayment</t>
  </si>
  <si>
    <t xml:space="preserve">2/3/2026</t>
  </si>
  <si>
    <t xml:space="preserve">2/4/2026</t>
  </si>
  <si>
    <t xml:space="preserve">2/6/2026</t>
  </si>
  <si>
    <t xml:space="preserve">Need to bill Amgen</t>
  </si>
  <si>
    <t xml:space="preserve">Brunelli</t>
  </si>
  <si>
    <t xml:space="preserve">Jan 2026</t>
  </si>
  <si>
    <t xml:space="preserve">68271.18 (set to pay) - but ILARIS ALSO DONE - MAKE SURE BILLED</t>
  </si>
  <si>
    <t xml:space="preserve">Claims are pending due to medical notes request. Medical notes have been submitted - allow time for processing</t>
  </si>
  <si>
    <t xml:space="preserve">Bauer</t>
  </si>
  <si>
    <t xml:space="preserve">Date</t>
  </si>
  <si>
    <t xml:space="preserve">Amount Paid</t>
  </si>
  <si>
    <t xml:space="preserve">Employee</t>
  </si>
  <si>
    <t xml:space="preserve">Start Date</t>
  </si>
  <si>
    <t xml:space="preserve">Annual Salary</t>
  </si>
  <si>
    <t xml:space="preserve">Sayeed</t>
  </si>
  <si>
    <t xml:space="preserve">Asiya</t>
  </si>
  <si>
    <t xml:space="preserve">Dr Cozz</t>
  </si>
  <si>
    <t xml:space="preserve">Dr Fischer</t>
  </si>
  <si>
    <t xml:space="preserve">Frank</t>
  </si>
  <si>
    <t xml:space="preserve">Pete</t>
  </si>
  <si>
    <t xml:space="preserve">Amy</t>
  </si>
  <si>
    <t xml:space="preserve">April</t>
  </si>
  <si>
    <t xml:space="preserve">Megan</t>
  </si>
  <si>
    <t xml:space="preserve">March</t>
  </si>
  <si>
    <t xml:space="preserve">May</t>
  </si>
  <si>
    <t xml:space="preserve">June</t>
  </si>
  <si>
    <t xml:space="preserve">July</t>
  </si>
  <si>
    <t xml:space="preserve">Aug</t>
  </si>
  <si>
    <t xml:space="preserve">Sept</t>
  </si>
  <si>
    <t xml:space="preserve">Oct</t>
  </si>
  <si>
    <t xml:space="preserve">Nov</t>
  </si>
  <si>
    <t xml:space="preserve">Dec</t>
  </si>
  <si>
    <t xml:space="preserve">Jan</t>
  </si>
  <si>
    <t xml:space="preserve">x</t>
  </si>
  <si>
    <t xml:space="preserve">Bhahadir</t>
  </si>
  <si>
    <t xml:space="preserve">No service</t>
  </si>
  <si>
    <t xml:space="preserve">Prenelli</t>
  </si>
  <si>
    <t xml:space="preserve">(only 1 Illaris)</t>
  </si>
  <si>
    <t xml:space="preserve">Roseorugh</t>
  </si>
  <si>
    <t xml:space="preserve">Have EOB’s (not collecting)</t>
  </si>
  <si>
    <t xml:space="preserve">Started 10/2</t>
  </si>
  <si>
    <t xml:space="preserve">BCBS OOS</t>
  </si>
  <si>
    <t xml:space="preserve">Moscato</t>
  </si>
  <si>
    <t xml:space="preserve">Payment Issue</t>
  </si>
  <si>
    <t xml:space="preserve">OXFORD</t>
  </si>
  <si>
    <t xml:space="preserve">Ribera</t>
  </si>
  <si>
    <t xml:space="preserve">NO PAYMENTS YET</t>
  </si>
  <si>
    <t xml:space="preserve">EXPENSES</t>
  </si>
  <si>
    <t xml:space="preserve">REVENUE</t>
  </si>
  <si>
    <t xml:space="preserve">RUNNING EXPENSES</t>
  </si>
  <si>
    <t xml:space="preserve">RUNNING REVENUE</t>
  </si>
  <si>
    <t xml:space="preserve">RUNNING PNL</t>
  </si>
  <si>
    <t xml:space="preserve">Ambrosio</t>
  </si>
  <si>
    <t xml:space="preserve">7/14 - 7/28</t>
  </si>
  <si>
    <t xml:space="preserve">BCBS</t>
  </si>
  <si>
    <t xml:space="preserve">6/2 - 6/23</t>
  </si>
  <si>
    <t xml:space="preserve">Get EOB – Ilaris</t>
  </si>
  <si>
    <t xml:space="preserve">6/12 - 6/26</t>
  </si>
  <si>
    <t xml:space="preserve">5/15 - 5/29</t>
  </si>
  <si>
    <t xml:space="preserve">8/11 - 8/25</t>
  </si>
  <si>
    <t xml:space="preserve">Get EOB – Ilaris 8/26 not paid - investigate</t>
  </si>
  <si>
    <t xml:space="preserve">Aetna</t>
  </si>
  <si>
    <t xml:space="preserve">Clay</t>
  </si>
  <si>
    <t xml:space="preserve">Horizon</t>
  </si>
  <si>
    <t xml:space="preserve">Patient responsibility $6000</t>
  </si>
  <si>
    <t xml:space="preserve">Est Salaries</t>
  </si>
  <si>
    <t xml:space="preserve">BILLING ERROR - MUST FIX - SERVICE UNITS INCORRECT ON BILL</t>
  </si>
  <si>
    <t xml:space="preserve">UHC</t>
  </si>
  <si>
    <t xml:space="preserve">estimated</t>
  </si>
  <si>
    <t xml:space="preserve">BILLING ERROR - MUST FIX</t>
  </si>
  <si>
    <t xml:space="preserve">UHOXFORD</t>
  </si>
  <si>
    <t xml:space="preserve">Horizons</t>
  </si>
  <si>
    <t xml:space="preserve">ESTIMATED PAYMENT NEED EOB</t>
  </si>
  <si>
    <t xml:space="preserve">SPRX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</si>
</sst>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m/d/yyyy"/>
    <numFmt numFmtId="166" formatCode="mm/dd/yy"/>
    <numFmt numFmtId="167" formatCode="#,##0"/>
    <numFmt numFmtId="168" formatCode="_(* #,##0.00_);_(* \(#,##0.00\);_(* \-??_);_(@_)"/>
    <numFmt numFmtId="169" formatCode="_(* #,##0_);_(* \(#,##0\);_(* \-??_);_(@_)"/>
    <numFmt numFmtId="170" formatCode="0"/>
    <numFmt numFmtId="171" formatCode="#,##0.00"/>
    <numFmt numFmtId="172" formatCode="[$$-409]#,##0.00;\-[$$-409]#,##0.00"/>
    <numFmt numFmtId="173" formatCode="_(\$* #,##0.00_);_(\$* \(#,##0.00\);_(\$* \-??_);_(@_)"/>
    <numFmt numFmtId="174" formatCode="_(\$* #,##0_);_(\$* \(#,##0\);_(\$* \-??_);_(@_)"/>
    <numFmt numFmtId="175" formatCode="[$$-409]#,##0.00;[RED]\-[$$-409]#,##0.00"/>
    <numFmt numFmtId="176" formatCode="[$$-409]#,##0;[RED]\-[$$-409]#,##0"/>
    <numFmt numFmtId="177" formatCode="d\-mmm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BC700"/>
        <bgColor rgb="FFFFD320"/>
      </patternFill>
    </fill>
    <fill>
      <patternFill patternType="solid">
        <fgColor rgb="FFE2F2F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5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2" fontId="5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2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4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E2F2FE"/>
          <bgColor rgb="FF000000"/>
        </patternFill>
      </fill>
    </dxf>
    <dxf>
      <fill>
        <patternFill patternType="solid">
          <fgColor rgb="FFEBC7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2F2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99CC00"/>
      <rgbColor rgb="FFEBC700"/>
      <rgbColor rgb="FFFF9900"/>
      <rgbColor rgb="FFFF6600"/>
      <rgbColor rgb="FF666699"/>
      <rgbColor rgb="FF969696"/>
      <rgbColor rgb="FF003366"/>
      <rgbColor rgb="FF339966"/>
      <rgbColor rgb="FF003300"/>
      <rgbColor rgb="FF31400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'Combined Data-Payments and Expe'!$K$1</c:f>
              <c:strCache>
                <c:ptCount val="1"/>
                <c:pt idx="0">
                  <c:v>RUNNING EXPENSES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'Combined Data-Payments and Expe'!$E$2:$E$102</c:f>
              <c:strCache>
                <c:ptCount val="101"/>
                <c:pt idx="0">
                  <c:v>8/8/2025</c:v>
                </c:pt>
                <c:pt idx="1">
                  <c:v>8/9/2025</c:v>
                </c:pt>
                <c:pt idx="2">
                  <c:v>9/20/2025</c:v>
                </c:pt>
                <c:pt idx="3">
                  <c:v>10/18/2025</c:v>
                </c:pt>
                <c:pt idx="4">
                  <c:v>10/25/2025</c:v>
                </c:pt>
                <c:pt idx="5">
                  <c:v>11/1/2025</c:v>
                </c:pt>
                <c:pt idx="6">
                  <c:v>11/15/2025</c:v>
                </c:pt>
                <c:pt idx="7">
                  <c:v>12/1/2025</c:v>
                </c:pt>
                <c:pt idx="8">
                  <c:v>12/15/2025</c:v>
                </c:pt>
                <c:pt idx="9">
                  <c:v>8/5/2025</c:v>
                </c:pt>
                <c:pt idx="10">
                  <c:v>8/9/2025</c:v>
                </c:pt>
                <c:pt idx="11">
                  <c:v>8/14/2025</c:v>
                </c:pt>
                <c:pt idx="12">
                  <c:v>10/11/2025</c:v>
                </c:pt>
                <c:pt idx="13">
                  <c:v>10/16/2025</c:v>
                </c:pt>
                <c:pt idx="14">
                  <c:v>10/23/2025</c:v>
                </c:pt>
                <c:pt idx="15">
                  <c:v>10/23/2025</c:v>
                </c:pt>
                <c:pt idx="16">
                  <c:v>11/6/2025</c:v>
                </c:pt>
                <c:pt idx="17">
                  <c:v>11/18/25</c:v>
                </c:pt>
                <c:pt idx="18">
                  <c:v>11/29/2025</c:v>
                </c:pt>
                <c:pt idx="19">
                  <c:v>12/16/2025</c:v>
                </c:pt>
                <c:pt idx="20">
                  <c:v>1/7/2026</c:v>
                </c:pt>
                <c:pt idx="21">
                  <c:v>01/15/26</c:v>
                </c:pt>
                <c:pt idx="22">
                  <c:v>Waiting for Payment</c:v>
                </c:pt>
                <c:pt idx="23">
                  <c:v>Waiting for Payment</c:v>
                </c:pt>
                <c:pt idx="24">
                  <c:v>1/2/2026</c:v>
                </c:pt>
                <c:pt idx="25">
                  <c:v>1/16/2026</c:v>
                </c:pt>
                <c:pt idx="26">
                  <c:v>Waiting for Payment</c:v>
                </c:pt>
                <c:pt idx="27">
                  <c:v>Waiting for Payment</c:v>
                </c:pt>
                <c:pt idx="28">
                  <c:v>9/19/2025</c:v>
                </c:pt>
                <c:pt idx="29">
                  <c:v>9/25/2025</c:v>
                </c:pt>
                <c:pt idx="30">
                  <c:v>9/26/2025</c:v>
                </c:pt>
                <c:pt idx="31">
                  <c:v>10/27/2025</c:v>
                </c:pt>
                <c:pt idx="32">
                  <c:v>11/6/2025</c:v>
                </c:pt>
                <c:pt idx="33">
                  <c:v>11/7/2025</c:v>
                </c:pt>
                <c:pt idx="34">
                  <c:v>12/5/2025</c:v>
                </c:pt>
                <c:pt idx="35">
                  <c:v>12/12/2025</c:v>
                </c:pt>
                <c:pt idx="36">
                  <c:v>1/5/2026</c:v>
                </c:pt>
                <c:pt idx="37">
                  <c:v>Waiting for Payment</c:v>
                </c:pt>
                <c:pt idx="38">
                  <c:v>Waiting for Payment</c:v>
                </c:pt>
                <c:pt idx="39">
                  <c:v>Waiting for Payment</c:v>
                </c:pt>
                <c:pt idx="40">
                  <c:v>7/17/2025</c:v>
                </c:pt>
                <c:pt idx="41">
                  <c:v>9/12/2025</c:v>
                </c:pt>
                <c:pt idx="42">
                  <c:v>9/16/2025</c:v>
                </c:pt>
                <c:pt idx="43">
                  <c:v>9/16/2025</c:v>
                </c:pt>
                <c:pt idx="44">
                  <c:v>10/4/2025</c:v>
                </c:pt>
                <c:pt idx="45">
                  <c:v>10/9/2025</c:v>
                </c:pt>
                <c:pt idx="46">
                  <c:v>10/28/2025</c:v>
                </c:pt>
                <c:pt idx="47">
                  <c:v>11/6/2025</c:v>
                </c:pt>
                <c:pt idx="48">
                  <c:v>12/2/2025</c:v>
                </c:pt>
                <c:pt idx="49">
                  <c:v>12/6/2025</c:v>
                </c:pt>
                <c:pt idx="50">
                  <c:v>12/28/2025</c:v>
                </c:pt>
                <c:pt idx="51">
                  <c:v>1/10/2026</c:v>
                </c:pt>
                <c:pt idx="52">
                  <c:v>Waiting for Payment</c:v>
                </c:pt>
                <c:pt idx="53">
                  <c:v>Waiting for Payment</c:v>
                </c:pt>
                <c:pt idx="54">
                  <c:v>03/01/25</c:v>
                </c:pt>
                <c:pt idx="55">
                  <c:v>04/01/25</c:v>
                </c:pt>
                <c:pt idx="56">
                  <c:v>05/01/25</c:v>
                </c:pt>
                <c:pt idx="57">
                  <c:v>06/01/25</c:v>
                </c:pt>
                <c:pt idx="58">
                  <c:v>07/01/25</c:v>
                </c:pt>
                <c:pt idx="59">
                  <c:v>08/01/25</c:v>
                </c:pt>
                <c:pt idx="60">
                  <c:v>09/01/25</c:v>
                </c:pt>
                <c:pt idx="61">
                  <c:v>10/01/25</c:v>
                </c:pt>
                <c:pt idx="62">
                  <c:v>11/01/25</c:v>
                </c:pt>
                <c:pt idx="63">
                  <c:v>12/01/25</c:v>
                </c:pt>
                <c:pt idx="64">
                  <c:v>01/01/26</c:v>
                </c:pt>
                <c:pt idx="65">
                  <c:v>8/20/2025</c:v>
                </c:pt>
                <c:pt idx="66">
                  <c:v>9/4/2025</c:v>
                </c:pt>
                <c:pt idx="67">
                  <c:v>9/16/2025</c:v>
                </c:pt>
                <c:pt idx="68">
                  <c:v>9/23/2025</c:v>
                </c:pt>
                <c:pt idx="69">
                  <c:v>9/25/2025</c:v>
                </c:pt>
                <c:pt idx="70">
                  <c:v>10/8/2025</c:v>
                </c:pt>
                <c:pt idx="71">
                  <c:v>10/14/2025</c:v>
                </c:pt>
                <c:pt idx="72">
                  <c:v>10/17/2025</c:v>
                </c:pt>
                <c:pt idx="73">
                  <c:v>10/28/2025</c:v>
                </c:pt>
                <c:pt idx="74">
                  <c:v>11/12/2025</c:v>
                </c:pt>
                <c:pt idx="75">
                  <c:v>12/2/2025</c:v>
                </c:pt>
                <c:pt idx="76">
                  <c:v>12/16/2025</c:v>
                </c:pt>
                <c:pt idx="77">
                  <c:v>1/6/2026</c:v>
                </c:pt>
                <c:pt idx="78">
                  <c:v>Waiting for Payment</c:v>
                </c:pt>
                <c:pt idx="79">
                  <c:v>Waiting for Payment</c:v>
                </c:pt>
                <c:pt idx="80">
                  <c:v>8/15/2025</c:v>
                </c:pt>
                <c:pt idx="81">
                  <c:v>9/26/2025</c:v>
                </c:pt>
                <c:pt idx="82">
                  <c:v>10/4/2025</c:v>
                </c:pt>
                <c:pt idx="83">
                  <c:v>10/9/2025</c:v>
                </c:pt>
                <c:pt idx="84">
                  <c:v>10/14/2025</c:v>
                </c:pt>
                <c:pt idx="85">
                  <c:v>10/28/2025</c:v>
                </c:pt>
                <c:pt idx="86">
                  <c:v>11/1/2025</c:v>
                </c:pt>
                <c:pt idx="87">
                  <c:v>11/14/2025</c:v>
                </c:pt>
                <c:pt idx="88">
                  <c:v>12/20/25</c:v>
                </c:pt>
                <c:pt idx="89">
                  <c:v>12/31/25</c:v>
                </c:pt>
                <c:pt idx="90">
                  <c:v>Waiting for Payment</c:v>
                </c:pt>
                <c:pt idx="91">
                  <c:v>Waiting for Payment</c:v>
                </c:pt>
                <c:pt idx="92">
                  <c:v>Waiting for Payment</c:v>
                </c:pt>
                <c:pt idx="93">
                  <c:v>8/1/2025</c:v>
                </c:pt>
                <c:pt idx="94">
                  <c:v>8/14/2025</c:v>
                </c:pt>
                <c:pt idx="95">
                  <c:v>9/2/2025</c:v>
                </c:pt>
                <c:pt idx="96">
                  <c:v>9/29/2025</c:v>
                </c:pt>
                <c:pt idx="97">
                  <c:v>10/9/2025</c:v>
                </c:pt>
                <c:pt idx="98">
                  <c:v>10/16/2025</c:v>
                </c:pt>
                <c:pt idx="99">
                  <c:v>10/23/2025</c:v>
                </c:pt>
                <c:pt idx="100">
                  <c:v>11/17/2025</c:v>
                </c:pt>
              </c:strCache>
            </c:strRef>
          </c:cat>
          <c:val>
            <c:numRef>
              <c:f>'Combined Data-Payments and Expe'!$K$2:$K$102</c:f>
              <c:numCache>
                <c:formatCode>[$$-409]#,##0;[RED]\-[$$-409]#,##0</c:formatCode>
                <c:ptCount val="101"/>
                <c:pt idx="24">
                  <c:v>0</c:v>
                </c:pt>
                <c:pt idx="25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4">
                  <c:v>-7638</c:v>
                </c:pt>
                <c:pt idx="55">
                  <c:v>-15276</c:v>
                </c:pt>
                <c:pt idx="56">
                  <c:v>-22914</c:v>
                </c:pt>
                <c:pt idx="57">
                  <c:v>-38193</c:v>
                </c:pt>
                <c:pt idx="58">
                  <c:v>-53472</c:v>
                </c:pt>
                <c:pt idx="59">
                  <c:v>-72570</c:v>
                </c:pt>
                <c:pt idx="60">
                  <c:v>-91668</c:v>
                </c:pt>
                <c:pt idx="61">
                  <c:v>-126050</c:v>
                </c:pt>
                <c:pt idx="62">
                  <c:v>-160432</c:v>
                </c:pt>
                <c:pt idx="63">
                  <c:v>-194814</c:v>
                </c:pt>
                <c:pt idx="64">
                  <c:v>-229196</c:v>
                </c:pt>
                <c:pt idx="65">
                  <c:v>-229196</c:v>
                </c:pt>
                <c:pt idx="66">
                  <c:v>-229196</c:v>
                </c:pt>
                <c:pt idx="67">
                  <c:v>-229196</c:v>
                </c:pt>
                <c:pt idx="68">
                  <c:v>-229196</c:v>
                </c:pt>
                <c:pt idx="69">
                  <c:v>-229196</c:v>
                </c:pt>
                <c:pt idx="70">
                  <c:v>-229196</c:v>
                </c:pt>
                <c:pt idx="71">
                  <c:v>-229196</c:v>
                </c:pt>
                <c:pt idx="72">
                  <c:v>-229196</c:v>
                </c:pt>
                <c:pt idx="73">
                  <c:v>-229196</c:v>
                </c:pt>
                <c:pt idx="74">
                  <c:v>-229196</c:v>
                </c:pt>
                <c:pt idx="75">
                  <c:v>-229196</c:v>
                </c:pt>
                <c:pt idx="76">
                  <c:v>-229196</c:v>
                </c:pt>
                <c:pt idx="77">
                  <c:v>-229196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'Combined Data-Payments and Expe'!$L$1</c:f>
              <c:strCache>
                <c:ptCount val="1"/>
                <c:pt idx="0">
                  <c:v>RUNNING REVENUE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'Combined Data-Payments and Expe'!$E$2:$E$102</c:f>
              <c:strCache>
                <c:ptCount val="101"/>
                <c:pt idx="0">
                  <c:v>8/8/2025</c:v>
                </c:pt>
                <c:pt idx="1">
                  <c:v>8/9/2025</c:v>
                </c:pt>
                <c:pt idx="2">
                  <c:v>9/20/2025</c:v>
                </c:pt>
                <c:pt idx="3">
                  <c:v>10/18/2025</c:v>
                </c:pt>
                <c:pt idx="4">
                  <c:v>10/25/2025</c:v>
                </c:pt>
                <c:pt idx="5">
                  <c:v>11/1/2025</c:v>
                </c:pt>
                <c:pt idx="6">
                  <c:v>11/15/2025</c:v>
                </c:pt>
                <c:pt idx="7">
                  <c:v>12/1/2025</c:v>
                </c:pt>
                <c:pt idx="8">
                  <c:v>12/15/2025</c:v>
                </c:pt>
                <c:pt idx="9">
                  <c:v>8/5/2025</c:v>
                </c:pt>
                <c:pt idx="10">
                  <c:v>8/9/2025</c:v>
                </c:pt>
                <c:pt idx="11">
                  <c:v>8/14/2025</c:v>
                </c:pt>
                <c:pt idx="12">
                  <c:v>10/11/2025</c:v>
                </c:pt>
                <c:pt idx="13">
                  <c:v>10/16/2025</c:v>
                </c:pt>
                <c:pt idx="14">
                  <c:v>10/23/2025</c:v>
                </c:pt>
                <c:pt idx="15">
                  <c:v>10/23/2025</c:v>
                </c:pt>
                <c:pt idx="16">
                  <c:v>11/6/2025</c:v>
                </c:pt>
                <c:pt idx="17">
                  <c:v>11/18/25</c:v>
                </c:pt>
                <c:pt idx="18">
                  <c:v>11/29/2025</c:v>
                </c:pt>
                <c:pt idx="19">
                  <c:v>12/16/2025</c:v>
                </c:pt>
                <c:pt idx="20">
                  <c:v>1/7/2026</c:v>
                </c:pt>
                <c:pt idx="21">
                  <c:v>01/15/26</c:v>
                </c:pt>
                <c:pt idx="22">
                  <c:v>Waiting for Payment</c:v>
                </c:pt>
                <c:pt idx="23">
                  <c:v>Waiting for Payment</c:v>
                </c:pt>
                <c:pt idx="24">
                  <c:v>1/2/2026</c:v>
                </c:pt>
                <c:pt idx="25">
                  <c:v>1/16/2026</c:v>
                </c:pt>
                <c:pt idx="26">
                  <c:v>Waiting for Payment</c:v>
                </c:pt>
                <c:pt idx="27">
                  <c:v>Waiting for Payment</c:v>
                </c:pt>
                <c:pt idx="28">
                  <c:v>9/19/2025</c:v>
                </c:pt>
                <c:pt idx="29">
                  <c:v>9/25/2025</c:v>
                </c:pt>
                <c:pt idx="30">
                  <c:v>9/26/2025</c:v>
                </c:pt>
                <c:pt idx="31">
                  <c:v>10/27/2025</c:v>
                </c:pt>
                <c:pt idx="32">
                  <c:v>11/6/2025</c:v>
                </c:pt>
                <c:pt idx="33">
                  <c:v>11/7/2025</c:v>
                </c:pt>
                <c:pt idx="34">
                  <c:v>12/5/2025</c:v>
                </c:pt>
                <c:pt idx="35">
                  <c:v>12/12/2025</c:v>
                </c:pt>
                <c:pt idx="36">
                  <c:v>1/5/2026</c:v>
                </c:pt>
                <c:pt idx="37">
                  <c:v>Waiting for Payment</c:v>
                </c:pt>
                <c:pt idx="38">
                  <c:v>Waiting for Payment</c:v>
                </c:pt>
                <c:pt idx="39">
                  <c:v>Waiting for Payment</c:v>
                </c:pt>
                <c:pt idx="40">
                  <c:v>7/17/2025</c:v>
                </c:pt>
                <c:pt idx="41">
                  <c:v>9/12/2025</c:v>
                </c:pt>
                <c:pt idx="42">
                  <c:v>9/16/2025</c:v>
                </c:pt>
                <c:pt idx="43">
                  <c:v>9/16/2025</c:v>
                </c:pt>
                <c:pt idx="44">
                  <c:v>10/4/2025</c:v>
                </c:pt>
                <c:pt idx="45">
                  <c:v>10/9/2025</c:v>
                </c:pt>
                <c:pt idx="46">
                  <c:v>10/28/2025</c:v>
                </c:pt>
                <c:pt idx="47">
                  <c:v>11/6/2025</c:v>
                </c:pt>
                <c:pt idx="48">
                  <c:v>12/2/2025</c:v>
                </c:pt>
                <c:pt idx="49">
                  <c:v>12/6/2025</c:v>
                </c:pt>
                <c:pt idx="50">
                  <c:v>12/28/2025</c:v>
                </c:pt>
                <c:pt idx="51">
                  <c:v>1/10/2026</c:v>
                </c:pt>
                <c:pt idx="52">
                  <c:v>Waiting for Payment</c:v>
                </c:pt>
                <c:pt idx="53">
                  <c:v>Waiting for Payment</c:v>
                </c:pt>
                <c:pt idx="54">
                  <c:v>03/01/25</c:v>
                </c:pt>
                <c:pt idx="55">
                  <c:v>04/01/25</c:v>
                </c:pt>
                <c:pt idx="56">
                  <c:v>05/01/25</c:v>
                </c:pt>
                <c:pt idx="57">
                  <c:v>06/01/25</c:v>
                </c:pt>
                <c:pt idx="58">
                  <c:v>07/01/25</c:v>
                </c:pt>
                <c:pt idx="59">
                  <c:v>08/01/25</c:v>
                </c:pt>
                <c:pt idx="60">
                  <c:v>09/01/25</c:v>
                </c:pt>
                <c:pt idx="61">
                  <c:v>10/01/25</c:v>
                </c:pt>
                <c:pt idx="62">
                  <c:v>11/01/25</c:v>
                </c:pt>
                <c:pt idx="63">
                  <c:v>12/01/25</c:v>
                </c:pt>
                <c:pt idx="64">
                  <c:v>01/01/26</c:v>
                </c:pt>
                <c:pt idx="65">
                  <c:v>8/20/2025</c:v>
                </c:pt>
                <c:pt idx="66">
                  <c:v>9/4/2025</c:v>
                </c:pt>
                <c:pt idx="67">
                  <c:v>9/16/2025</c:v>
                </c:pt>
                <c:pt idx="68">
                  <c:v>9/23/2025</c:v>
                </c:pt>
                <c:pt idx="69">
                  <c:v>9/25/2025</c:v>
                </c:pt>
                <c:pt idx="70">
                  <c:v>10/8/2025</c:v>
                </c:pt>
                <c:pt idx="71">
                  <c:v>10/14/2025</c:v>
                </c:pt>
                <c:pt idx="72">
                  <c:v>10/17/2025</c:v>
                </c:pt>
                <c:pt idx="73">
                  <c:v>10/28/2025</c:v>
                </c:pt>
                <c:pt idx="74">
                  <c:v>11/12/2025</c:v>
                </c:pt>
                <c:pt idx="75">
                  <c:v>12/2/2025</c:v>
                </c:pt>
                <c:pt idx="76">
                  <c:v>12/16/2025</c:v>
                </c:pt>
                <c:pt idx="77">
                  <c:v>1/6/2026</c:v>
                </c:pt>
                <c:pt idx="78">
                  <c:v>Waiting for Payment</c:v>
                </c:pt>
                <c:pt idx="79">
                  <c:v>Waiting for Payment</c:v>
                </c:pt>
                <c:pt idx="80">
                  <c:v>8/15/2025</c:v>
                </c:pt>
                <c:pt idx="81">
                  <c:v>9/26/2025</c:v>
                </c:pt>
                <c:pt idx="82">
                  <c:v>10/4/2025</c:v>
                </c:pt>
                <c:pt idx="83">
                  <c:v>10/9/2025</c:v>
                </c:pt>
                <c:pt idx="84">
                  <c:v>10/14/2025</c:v>
                </c:pt>
                <c:pt idx="85">
                  <c:v>10/28/2025</c:v>
                </c:pt>
                <c:pt idx="86">
                  <c:v>11/1/2025</c:v>
                </c:pt>
                <c:pt idx="87">
                  <c:v>11/14/2025</c:v>
                </c:pt>
                <c:pt idx="88">
                  <c:v>12/20/25</c:v>
                </c:pt>
                <c:pt idx="89">
                  <c:v>12/31/25</c:v>
                </c:pt>
                <c:pt idx="90">
                  <c:v>Waiting for Payment</c:v>
                </c:pt>
                <c:pt idx="91">
                  <c:v>Waiting for Payment</c:v>
                </c:pt>
                <c:pt idx="92">
                  <c:v>Waiting for Payment</c:v>
                </c:pt>
                <c:pt idx="93">
                  <c:v>8/1/2025</c:v>
                </c:pt>
                <c:pt idx="94">
                  <c:v>8/14/2025</c:v>
                </c:pt>
                <c:pt idx="95">
                  <c:v>9/2/2025</c:v>
                </c:pt>
                <c:pt idx="96">
                  <c:v>9/29/2025</c:v>
                </c:pt>
                <c:pt idx="97">
                  <c:v>10/9/2025</c:v>
                </c:pt>
                <c:pt idx="98">
                  <c:v>10/16/2025</c:v>
                </c:pt>
                <c:pt idx="99">
                  <c:v>10/23/2025</c:v>
                </c:pt>
                <c:pt idx="100">
                  <c:v>11/17/2025</c:v>
                </c:pt>
              </c:strCache>
            </c:strRef>
          </c:cat>
          <c:val>
            <c:numRef>
              <c:f>'Combined Data-Payments and Expe'!$L$2:$L$102</c:f>
              <c:numCache>
                <c:formatCode>[$$-409]#,##0;[RED]\-[$$-409]#,##0</c:formatCode>
                <c:ptCount val="101"/>
                <c:pt idx="24">
                  <c:v>31807.83</c:v>
                </c:pt>
                <c:pt idx="25">
                  <c:v>63615.66</c:v>
                </c:pt>
                <c:pt idx="28">
                  <c:v>67945</c:v>
                </c:pt>
                <c:pt idx="29">
                  <c:v>110209.6</c:v>
                </c:pt>
                <c:pt idx="30">
                  <c:v>152463.6</c:v>
                </c:pt>
                <c:pt idx="31">
                  <c:v>194792.6</c:v>
                </c:pt>
                <c:pt idx="32">
                  <c:v>237121.6</c:v>
                </c:pt>
                <c:pt idx="33">
                  <c:v>279450.6</c:v>
                </c:pt>
                <c:pt idx="34">
                  <c:v>321781.2</c:v>
                </c:pt>
                <c:pt idx="35">
                  <c:v>364110.2</c:v>
                </c:pt>
                <c:pt idx="36">
                  <c:v>405251.5</c:v>
                </c:pt>
                <c:pt idx="40">
                  <c:v>22361</c:v>
                </c:pt>
                <c:pt idx="41">
                  <c:v>108056.35</c:v>
                </c:pt>
                <c:pt idx="42">
                  <c:v>136881.35</c:v>
                </c:pt>
                <c:pt idx="43">
                  <c:v>165706.35</c:v>
                </c:pt>
                <c:pt idx="44">
                  <c:v>194531.44</c:v>
                </c:pt>
                <c:pt idx="45">
                  <c:v>223356.53</c:v>
                </c:pt>
                <c:pt idx="46">
                  <c:v>252181.53</c:v>
                </c:pt>
                <c:pt idx="47">
                  <c:v>281178.53</c:v>
                </c:pt>
                <c:pt idx="48">
                  <c:v>310175.53</c:v>
                </c:pt>
                <c:pt idx="49">
                  <c:v>339172.53</c:v>
                </c:pt>
                <c:pt idx="50">
                  <c:v>368170.09</c:v>
                </c:pt>
                <c:pt idx="51">
                  <c:v>399977.92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84499.18</c:v>
                </c:pt>
                <c:pt idx="66">
                  <c:v>124534.18</c:v>
                </c:pt>
                <c:pt idx="67">
                  <c:v>164351.18</c:v>
                </c:pt>
                <c:pt idx="68">
                  <c:v>200387.18</c:v>
                </c:pt>
                <c:pt idx="69">
                  <c:v>240204.18</c:v>
                </c:pt>
                <c:pt idx="70">
                  <c:v>280103.02</c:v>
                </c:pt>
                <c:pt idx="71">
                  <c:v>320001.02</c:v>
                </c:pt>
                <c:pt idx="72">
                  <c:v>359899.02</c:v>
                </c:pt>
                <c:pt idx="73">
                  <c:v>399797.02</c:v>
                </c:pt>
                <c:pt idx="74">
                  <c:v>439695.02</c:v>
                </c:pt>
                <c:pt idx="75">
                  <c:v>479593.02</c:v>
                </c:pt>
                <c:pt idx="76">
                  <c:v>519491.02</c:v>
                </c:pt>
                <c:pt idx="77">
                  <c:v>559388.02</c:v>
                </c:pt>
                <c:pt idx="80">
                  <c:v>113149</c:v>
                </c:pt>
                <c:pt idx="81">
                  <c:v>152946</c:v>
                </c:pt>
                <c:pt idx="82">
                  <c:v>192828</c:v>
                </c:pt>
                <c:pt idx="83">
                  <c:v>232706</c:v>
                </c:pt>
                <c:pt idx="84">
                  <c:v>272604</c:v>
                </c:pt>
                <c:pt idx="85">
                  <c:v>312502</c:v>
                </c:pt>
                <c:pt idx="86">
                  <c:v>352400</c:v>
                </c:pt>
                <c:pt idx="87">
                  <c:v>354711</c:v>
                </c:pt>
                <c:pt idx="88">
                  <c:v>355284</c:v>
                </c:pt>
                <c:pt idx="89">
                  <c:v>395182</c:v>
                </c:pt>
                <c:pt idx="93">
                  <c:v>30775</c:v>
                </c:pt>
                <c:pt idx="94">
                  <c:v>120435</c:v>
                </c:pt>
                <c:pt idx="95">
                  <c:v>150621</c:v>
                </c:pt>
                <c:pt idx="96">
                  <c:v>152195</c:v>
                </c:pt>
                <c:pt idx="97">
                  <c:v>153769</c:v>
                </c:pt>
                <c:pt idx="98">
                  <c:v>155343</c:v>
                </c:pt>
                <c:pt idx="99">
                  <c:v>156917</c:v>
                </c:pt>
                <c:pt idx="100">
                  <c:v>158491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'Combined Data-Payments and Expe'!$M$1</c:f>
              <c:strCache>
                <c:ptCount val="1"/>
                <c:pt idx="0">
                  <c:v>RUNNING PNL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'Combined Data-Payments and Expe'!$E$2:$E$102</c:f>
              <c:strCache>
                <c:ptCount val="101"/>
                <c:pt idx="0">
                  <c:v>8/8/2025</c:v>
                </c:pt>
                <c:pt idx="1">
                  <c:v>8/9/2025</c:v>
                </c:pt>
                <c:pt idx="2">
                  <c:v>9/20/2025</c:v>
                </c:pt>
                <c:pt idx="3">
                  <c:v>10/18/2025</c:v>
                </c:pt>
                <c:pt idx="4">
                  <c:v>10/25/2025</c:v>
                </c:pt>
                <c:pt idx="5">
                  <c:v>11/1/2025</c:v>
                </c:pt>
                <c:pt idx="6">
                  <c:v>11/15/2025</c:v>
                </c:pt>
                <c:pt idx="7">
                  <c:v>12/1/2025</c:v>
                </c:pt>
                <c:pt idx="8">
                  <c:v>12/15/2025</c:v>
                </c:pt>
                <c:pt idx="9">
                  <c:v>8/5/2025</c:v>
                </c:pt>
                <c:pt idx="10">
                  <c:v>8/9/2025</c:v>
                </c:pt>
                <c:pt idx="11">
                  <c:v>8/14/2025</c:v>
                </c:pt>
                <c:pt idx="12">
                  <c:v>10/11/2025</c:v>
                </c:pt>
                <c:pt idx="13">
                  <c:v>10/16/2025</c:v>
                </c:pt>
                <c:pt idx="14">
                  <c:v>10/23/2025</c:v>
                </c:pt>
                <c:pt idx="15">
                  <c:v>10/23/2025</c:v>
                </c:pt>
                <c:pt idx="16">
                  <c:v>11/6/2025</c:v>
                </c:pt>
                <c:pt idx="17">
                  <c:v>11/18/25</c:v>
                </c:pt>
                <c:pt idx="18">
                  <c:v>11/29/2025</c:v>
                </c:pt>
                <c:pt idx="19">
                  <c:v>12/16/2025</c:v>
                </c:pt>
                <c:pt idx="20">
                  <c:v>1/7/2026</c:v>
                </c:pt>
                <c:pt idx="21">
                  <c:v>01/15/26</c:v>
                </c:pt>
                <c:pt idx="22">
                  <c:v>Waiting for Payment</c:v>
                </c:pt>
                <c:pt idx="23">
                  <c:v>Waiting for Payment</c:v>
                </c:pt>
                <c:pt idx="24">
                  <c:v>1/2/2026</c:v>
                </c:pt>
                <c:pt idx="25">
                  <c:v>1/16/2026</c:v>
                </c:pt>
                <c:pt idx="26">
                  <c:v>Waiting for Payment</c:v>
                </c:pt>
                <c:pt idx="27">
                  <c:v>Waiting for Payment</c:v>
                </c:pt>
                <c:pt idx="28">
                  <c:v>9/19/2025</c:v>
                </c:pt>
                <c:pt idx="29">
                  <c:v>9/25/2025</c:v>
                </c:pt>
                <c:pt idx="30">
                  <c:v>9/26/2025</c:v>
                </c:pt>
                <c:pt idx="31">
                  <c:v>10/27/2025</c:v>
                </c:pt>
                <c:pt idx="32">
                  <c:v>11/6/2025</c:v>
                </c:pt>
                <c:pt idx="33">
                  <c:v>11/7/2025</c:v>
                </c:pt>
                <c:pt idx="34">
                  <c:v>12/5/2025</c:v>
                </c:pt>
                <c:pt idx="35">
                  <c:v>12/12/2025</c:v>
                </c:pt>
                <c:pt idx="36">
                  <c:v>1/5/2026</c:v>
                </c:pt>
                <c:pt idx="37">
                  <c:v>Waiting for Payment</c:v>
                </c:pt>
                <c:pt idx="38">
                  <c:v>Waiting for Payment</c:v>
                </c:pt>
                <c:pt idx="39">
                  <c:v>Waiting for Payment</c:v>
                </c:pt>
                <c:pt idx="40">
                  <c:v>7/17/2025</c:v>
                </c:pt>
                <c:pt idx="41">
                  <c:v>9/12/2025</c:v>
                </c:pt>
                <c:pt idx="42">
                  <c:v>9/16/2025</c:v>
                </c:pt>
                <c:pt idx="43">
                  <c:v>9/16/2025</c:v>
                </c:pt>
                <c:pt idx="44">
                  <c:v>10/4/2025</c:v>
                </c:pt>
                <c:pt idx="45">
                  <c:v>10/9/2025</c:v>
                </c:pt>
                <c:pt idx="46">
                  <c:v>10/28/2025</c:v>
                </c:pt>
                <c:pt idx="47">
                  <c:v>11/6/2025</c:v>
                </c:pt>
                <c:pt idx="48">
                  <c:v>12/2/2025</c:v>
                </c:pt>
                <c:pt idx="49">
                  <c:v>12/6/2025</c:v>
                </c:pt>
                <c:pt idx="50">
                  <c:v>12/28/2025</c:v>
                </c:pt>
                <c:pt idx="51">
                  <c:v>1/10/2026</c:v>
                </c:pt>
                <c:pt idx="52">
                  <c:v>Waiting for Payment</c:v>
                </c:pt>
                <c:pt idx="53">
                  <c:v>Waiting for Payment</c:v>
                </c:pt>
                <c:pt idx="54">
                  <c:v>03/01/25</c:v>
                </c:pt>
                <c:pt idx="55">
                  <c:v>04/01/25</c:v>
                </c:pt>
                <c:pt idx="56">
                  <c:v>05/01/25</c:v>
                </c:pt>
                <c:pt idx="57">
                  <c:v>06/01/25</c:v>
                </c:pt>
                <c:pt idx="58">
                  <c:v>07/01/25</c:v>
                </c:pt>
                <c:pt idx="59">
                  <c:v>08/01/25</c:v>
                </c:pt>
                <c:pt idx="60">
                  <c:v>09/01/25</c:v>
                </c:pt>
                <c:pt idx="61">
                  <c:v>10/01/25</c:v>
                </c:pt>
                <c:pt idx="62">
                  <c:v>11/01/25</c:v>
                </c:pt>
                <c:pt idx="63">
                  <c:v>12/01/25</c:v>
                </c:pt>
                <c:pt idx="64">
                  <c:v>01/01/26</c:v>
                </c:pt>
                <c:pt idx="65">
                  <c:v>8/20/2025</c:v>
                </c:pt>
                <c:pt idx="66">
                  <c:v>9/4/2025</c:v>
                </c:pt>
                <c:pt idx="67">
                  <c:v>9/16/2025</c:v>
                </c:pt>
                <c:pt idx="68">
                  <c:v>9/23/2025</c:v>
                </c:pt>
                <c:pt idx="69">
                  <c:v>9/25/2025</c:v>
                </c:pt>
                <c:pt idx="70">
                  <c:v>10/8/2025</c:v>
                </c:pt>
                <c:pt idx="71">
                  <c:v>10/14/2025</c:v>
                </c:pt>
                <c:pt idx="72">
                  <c:v>10/17/2025</c:v>
                </c:pt>
                <c:pt idx="73">
                  <c:v>10/28/2025</c:v>
                </c:pt>
                <c:pt idx="74">
                  <c:v>11/12/2025</c:v>
                </c:pt>
                <c:pt idx="75">
                  <c:v>12/2/2025</c:v>
                </c:pt>
                <c:pt idx="76">
                  <c:v>12/16/2025</c:v>
                </c:pt>
                <c:pt idx="77">
                  <c:v>1/6/2026</c:v>
                </c:pt>
                <c:pt idx="78">
                  <c:v>Waiting for Payment</c:v>
                </c:pt>
                <c:pt idx="79">
                  <c:v>Waiting for Payment</c:v>
                </c:pt>
                <c:pt idx="80">
                  <c:v>8/15/2025</c:v>
                </c:pt>
                <c:pt idx="81">
                  <c:v>9/26/2025</c:v>
                </c:pt>
                <c:pt idx="82">
                  <c:v>10/4/2025</c:v>
                </c:pt>
                <c:pt idx="83">
                  <c:v>10/9/2025</c:v>
                </c:pt>
                <c:pt idx="84">
                  <c:v>10/14/2025</c:v>
                </c:pt>
                <c:pt idx="85">
                  <c:v>10/28/2025</c:v>
                </c:pt>
                <c:pt idx="86">
                  <c:v>11/1/2025</c:v>
                </c:pt>
                <c:pt idx="87">
                  <c:v>11/14/2025</c:v>
                </c:pt>
                <c:pt idx="88">
                  <c:v>12/20/25</c:v>
                </c:pt>
                <c:pt idx="89">
                  <c:v>12/31/25</c:v>
                </c:pt>
                <c:pt idx="90">
                  <c:v>Waiting for Payment</c:v>
                </c:pt>
                <c:pt idx="91">
                  <c:v>Waiting for Payment</c:v>
                </c:pt>
                <c:pt idx="92">
                  <c:v>Waiting for Payment</c:v>
                </c:pt>
                <c:pt idx="93">
                  <c:v>8/1/2025</c:v>
                </c:pt>
                <c:pt idx="94">
                  <c:v>8/14/2025</c:v>
                </c:pt>
                <c:pt idx="95">
                  <c:v>9/2/2025</c:v>
                </c:pt>
                <c:pt idx="96">
                  <c:v>9/29/2025</c:v>
                </c:pt>
                <c:pt idx="97">
                  <c:v>10/9/2025</c:v>
                </c:pt>
                <c:pt idx="98">
                  <c:v>10/16/2025</c:v>
                </c:pt>
                <c:pt idx="99">
                  <c:v>10/23/2025</c:v>
                </c:pt>
                <c:pt idx="100">
                  <c:v>11/17/2025</c:v>
                </c:pt>
              </c:strCache>
            </c:strRef>
          </c:cat>
          <c:val>
            <c:numRef>
              <c:f>'Combined Data-Payments and Expe'!$M$2:$M$102</c:f>
              <c:numCache>
                <c:formatCode>[$$-409]#,##0;[RED]\-[$$-409]#,##0</c:formatCode>
                <c:ptCount val="101"/>
                <c:pt idx="24">
                  <c:v>31807.83</c:v>
                </c:pt>
                <c:pt idx="25">
                  <c:v>63615.66</c:v>
                </c:pt>
                <c:pt idx="28">
                  <c:v>67945</c:v>
                </c:pt>
                <c:pt idx="29">
                  <c:v>110209.6</c:v>
                </c:pt>
                <c:pt idx="30">
                  <c:v>152463.6</c:v>
                </c:pt>
                <c:pt idx="31">
                  <c:v>194792.6</c:v>
                </c:pt>
                <c:pt idx="32">
                  <c:v>237121.6</c:v>
                </c:pt>
                <c:pt idx="33">
                  <c:v>279450.6</c:v>
                </c:pt>
                <c:pt idx="34">
                  <c:v>321781.2</c:v>
                </c:pt>
                <c:pt idx="35">
                  <c:v>364110.2</c:v>
                </c:pt>
                <c:pt idx="36">
                  <c:v>405251.5</c:v>
                </c:pt>
                <c:pt idx="40">
                  <c:v>22361</c:v>
                </c:pt>
                <c:pt idx="41">
                  <c:v>108056.35</c:v>
                </c:pt>
                <c:pt idx="42">
                  <c:v>136881.35</c:v>
                </c:pt>
                <c:pt idx="43">
                  <c:v>165706.35</c:v>
                </c:pt>
                <c:pt idx="44">
                  <c:v>194531.44</c:v>
                </c:pt>
                <c:pt idx="45">
                  <c:v>223356.53</c:v>
                </c:pt>
                <c:pt idx="46">
                  <c:v>252181.53</c:v>
                </c:pt>
                <c:pt idx="47">
                  <c:v>281178.53</c:v>
                </c:pt>
                <c:pt idx="48">
                  <c:v>310175.53</c:v>
                </c:pt>
                <c:pt idx="49">
                  <c:v>339172.53</c:v>
                </c:pt>
                <c:pt idx="50">
                  <c:v>368170.09</c:v>
                </c:pt>
                <c:pt idx="51">
                  <c:v>399977.92</c:v>
                </c:pt>
                <c:pt idx="54">
                  <c:v>-7638</c:v>
                </c:pt>
                <c:pt idx="55">
                  <c:v>-15276</c:v>
                </c:pt>
                <c:pt idx="56">
                  <c:v>-22914</c:v>
                </c:pt>
                <c:pt idx="57">
                  <c:v>-38193</c:v>
                </c:pt>
                <c:pt idx="58">
                  <c:v>-53472</c:v>
                </c:pt>
                <c:pt idx="59">
                  <c:v>-72570</c:v>
                </c:pt>
                <c:pt idx="60">
                  <c:v>-91668</c:v>
                </c:pt>
                <c:pt idx="61">
                  <c:v>-126050</c:v>
                </c:pt>
                <c:pt idx="62">
                  <c:v>-160432</c:v>
                </c:pt>
                <c:pt idx="63">
                  <c:v>-194814</c:v>
                </c:pt>
                <c:pt idx="64">
                  <c:v>-229196</c:v>
                </c:pt>
                <c:pt idx="65">
                  <c:v>-144696.82</c:v>
                </c:pt>
                <c:pt idx="66">
                  <c:v>-104661.82</c:v>
                </c:pt>
                <c:pt idx="67">
                  <c:v>-64844.82</c:v>
                </c:pt>
                <c:pt idx="68">
                  <c:v>-28808.82</c:v>
                </c:pt>
                <c:pt idx="69">
                  <c:v>11008.18</c:v>
                </c:pt>
                <c:pt idx="70">
                  <c:v>50907.02</c:v>
                </c:pt>
                <c:pt idx="71">
                  <c:v>90805.02</c:v>
                </c:pt>
                <c:pt idx="72">
                  <c:v>130703.02</c:v>
                </c:pt>
                <c:pt idx="73">
                  <c:v>170601.02</c:v>
                </c:pt>
                <c:pt idx="74">
                  <c:v>210499.02</c:v>
                </c:pt>
                <c:pt idx="75">
                  <c:v>250397.02</c:v>
                </c:pt>
                <c:pt idx="76">
                  <c:v>290295.02</c:v>
                </c:pt>
                <c:pt idx="77">
                  <c:v>330192.02</c:v>
                </c:pt>
                <c:pt idx="80">
                  <c:v>113149</c:v>
                </c:pt>
                <c:pt idx="81">
                  <c:v>152946</c:v>
                </c:pt>
                <c:pt idx="82">
                  <c:v>192828</c:v>
                </c:pt>
                <c:pt idx="83">
                  <c:v>232706</c:v>
                </c:pt>
                <c:pt idx="84">
                  <c:v>272604</c:v>
                </c:pt>
                <c:pt idx="85">
                  <c:v>312502</c:v>
                </c:pt>
                <c:pt idx="86">
                  <c:v>352400</c:v>
                </c:pt>
                <c:pt idx="87">
                  <c:v>354711</c:v>
                </c:pt>
                <c:pt idx="88">
                  <c:v>355284</c:v>
                </c:pt>
                <c:pt idx="89">
                  <c:v>395182</c:v>
                </c:pt>
                <c:pt idx="93">
                  <c:v>30775</c:v>
                </c:pt>
                <c:pt idx="94">
                  <c:v>120435</c:v>
                </c:pt>
                <c:pt idx="95">
                  <c:v>150621</c:v>
                </c:pt>
                <c:pt idx="96">
                  <c:v>152195</c:v>
                </c:pt>
                <c:pt idx="97">
                  <c:v>153769</c:v>
                </c:pt>
                <c:pt idx="98">
                  <c:v>155343</c:v>
                </c:pt>
                <c:pt idx="99">
                  <c:v>156917</c:v>
                </c:pt>
                <c:pt idx="100">
                  <c:v>158491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3221050"/>
        <c:axId val="9406754"/>
      </c:lineChart>
      <c:catAx>
        <c:axId val="23221050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406754"/>
        <c:crosses val="autoZero"/>
        <c:auto val="1"/>
        <c:lblAlgn val="ctr"/>
        <c:lblOffset val="100"/>
        <c:noMultiLvlLbl val="0"/>
      </c:catAx>
      <c:valAx>
        <c:axId val="94067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409]#,##0;[RED]\-[$$-409]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32210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446400</xdr:colOff>
      <xdr:row>79</xdr:row>
      <xdr:rowOff>124920</xdr:rowOff>
    </xdr:from>
    <xdr:to>
      <xdr:col>21</xdr:col>
      <xdr:colOff>515160</xdr:colOff>
      <xdr:row>98</xdr:row>
      <xdr:rowOff>33120</xdr:rowOff>
    </xdr:to>
    <xdr:graphicFrame>
      <xdr:nvGraphicFramePr>
        <xdr:cNvPr id="1" name=""/>
        <xdr:cNvGraphicFramePr/>
      </xdr:nvGraphicFramePr>
      <xdr:xfrm>
        <a:off x="11825640" y="1396152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4" activePane="bottomLeft" state="frozen"/>
      <selection pane="topLeft" activeCell="A1" activeCellId="0" sqref="A1"/>
      <selection pane="bottomLeft" activeCell="C106" activeCellId="0" sqref="C106"/>
    </sheetView>
  </sheetViews>
  <sheetFormatPr defaultColWidth="8.64453125" defaultRowHeight="14.25" customHeight="false" zeroHeight="false" outlineLevelRow="0" outlineLevelCol="0"/>
  <cols>
    <col collapsed="false" customWidth="true" hidden="false" outlineLevel="0" max="1" min="1" style="1" width="9.54"/>
    <col collapsed="false" customWidth="true" hidden="false" outlineLevel="0" max="2" min="2" style="2" width="18.82"/>
    <col collapsed="false" customWidth="true" hidden="false" outlineLevel="0" max="3" min="3" style="1" width="18.82"/>
    <col collapsed="false" customWidth="true" hidden="false" outlineLevel="0" max="4" min="4" style="1" width="10.18"/>
    <col collapsed="false" customWidth="true" hidden="false" outlineLevel="0" max="5" min="5" style="3" width="15.73"/>
    <col collapsed="false" customWidth="true" hidden="false" outlineLevel="0" max="6" min="6" style="1" width="20.76"/>
    <col collapsed="false" customWidth="true" hidden="false" outlineLevel="0" max="7" min="7" style="1" width="13.82"/>
    <col collapsed="false" customWidth="true" hidden="false" outlineLevel="0" max="8" min="8" style="4" width="13.82"/>
    <col collapsed="false" customWidth="false" hidden="false" outlineLevel="0" max="9" min="9" style="5" width="8.64"/>
    <col collapsed="false" customWidth="true" hidden="false" outlineLevel="0" max="10" min="10" style="1" width="14.45"/>
    <col collapsed="false" customWidth="true" hidden="false" outlineLevel="0" max="11" min="11" style="6" width="10.18"/>
    <col collapsed="false" customWidth="true" hidden="false" outlineLevel="0" max="12" min="12" style="1" width="12.18"/>
    <col collapsed="false" customWidth="false" hidden="false" outlineLevel="0" max="15" min="14" style="1" width="8.64"/>
  </cols>
  <sheetData>
    <row r="1" customFormat="false" ht="14.25" hidden="false" customHeight="false" outlineLevel="0" collapsed="false">
      <c r="A1" s="7" t="s">
        <v>0</v>
      </c>
      <c r="B1" s="8" t="s">
        <v>1</v>
      </c>
      <c r="C1" s="8" t="s">
        <v>2</v>
      </c>
      <c r="D1" s="7" t="s">
        <v>3</v>
      </c>
      <c r="E1" s="9" t="s">
        <v>4</v>
      </c>
      <c r="F1" s="10" t="s">
        <v>5</v>
      </c>
      <c r="G1" s="11" t="s">
        <v>6</v>
      </c>
      <c r="H1" s="12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10</v>
      </c>
    </row>
    <row r="2" customFormat="false" ht="14.25" hidden="false" customHeight="false" outlineLevel="0" collapsed="false">
      <c r="A2" s="13" t="s">
        <v>12</v>
      </c>
      <c r="B2" s="13" t="s">
        <v>13</v>
      </c>
      <c r="C2" s="1" t="str">
        <f aca="false">IFERROR(MID(B2,FIND("-",B2)+1,LEN(B2)),B2)</f>
        <v>7/31/2025</v>
      </c>
      <c r="E2" s="14" t="s">
        <v>14</v>
      </c>
      <c r="F2" s="1" t="n">
        <f aca="false">E2-C2</f>
        <v>15</v>
      </c>
      <c r="G2" s="13" t="n">
        <v>3</v>
      </c>
      <c r="H2" s="15" t="n">
        <v>113149</v>
      </c>
      <c r="I2" s="16" t="n">
        <v>120433.48</v>
      </c>
      <c r="K2" s="13"/>
      <c r="L2" s="13"/>
    </row>
    <row r="3" customFormat="false" ht="14.25" hidden="false" customHeight="false" outlineLevel="0" collapsed="false">
      <c r="A3" s="13" t="s">
        <v>15</v>
      </c>
      <c r="B3" s="13" t="s">
        <v>16</v>
      </c>
      <c r="C3" s="17" t="n">
        <v>45867</v>
      </c>
      <c r="E3" s="14" t="s">
        <v>17</v>
      </c>
      <c r="F3" s="1" t="n">
        <f aca="false">E3-C3</f>
        <v>16</v>
      </c>
      <c r="G3" s="13" t="n">
        <v>3</v>
      </c>
      <c r="H3" s="15" t="n">
        <v>89660</v>
      </c>
      <c r="I3" s="16" t="n">
        <v>127026.3</v>
      </c>
      <c r="K3" s="13"/>
      <c r="L3" s="13"/>
    </row>
    <row r="4" customFormat="false" ht="14.25" hidden="false" customHeight="false" outlineLevel="0" collapsed="false">
      <c r="A4" s="13" t="s">
        <v>18</v>
      </c>
      <c r="B4" s="13" t="s">
        <v>19</v>
      </c>
      <c r="C4" s="17" t="n">
        <v>45867</v>
      </c>
      <c r="E4" s="14" t="s">
        <v>20</v>
      </c>
      <c r="F4" s="1" t="n">
        <f aca="false">E4-C4</f>
        <v>45</v>
      </c>
      <c r="G4" s="13" t="n">
        <v>3</v>
      </c>
      <c r="H4" s="15" t="n">
        <v>85695.35</v>
      </c>
      <c r="I4" s="16" t="n">
        <v>126849.28</v>
      </c>
      <c r="K4" s="13"/>
      <c r="L4" s="13"/>
    </row>
    <row r="5" customFormat="false" ht="14.25" hidden="false" customHeight="false" outlineLevel="0" collapsed="false">
      <c r="A5" s="13" t="s">
        <v>21</v>
      </c>
      <c r="B5" s="13" t="s">
        <v>22</v>
      </c>
      <c r="C5" s="1" t="str">
        <f aca="false">IFERROR(MID(B5,FIND("-",B5)+1,LEN(B5)),B5)</f>
        <v>6/30/2025</v>
      </c>
      <c r="E5" s="14" t="s">
        <v>23</v>
      </c>
      <c r="F5" s="1" t="n">
        <f aca="false">E5-C5</f>
        <v>51</v>
      </c>
      <c r="G5" s="13" t="n">
        <v>2</v>
      </c>
      <c r="H5" s="15" t="n">
        <v>84499.18</v>
      </c>
      <c r="I5" s="16" t="n">
        <v>84499.18</v>
      </c>
      <c r="K5" s="13"/>
      <c r="L5" s="13"/>
    </row>
    <row r="6" customFormat="false" ht="14.25" hidden="false" customHeight="false" outlineLevel="0" collapsed="false">
      <c r="A6" s="13" t="s">
        <v>24</v>
      </c>
      <c r="B6" s="13" t="s">
        <v>25</v>
      </c>
      <c r="C6" s="1" t="str">
        <f aca="false">IFERROR(MID(B6,FIND("-",B6)+1,LEN(B6)),B6)</f>
        <v>6/30/2025</v>
      </c>
      <c r="E6" s="14" t="s">
        <v>26</v>
      </c>
      <c r="F6" s="1" t="n">
        <f aca="false">E6-C6</f>
        <v>36</v>
      </c>
      <c r="G6" s="13" t="n">
        <v>2</v>
      </c>
      <c r="H6" s="15" t="n">
        <v>83528.36</v>
      </c>
      <c r="I6" s="16" t="n">
        <v>84499.18</v>
      </c>
      <c r="K6" s="13" t="n">
        <v>0</v>
      </c>
      <c r="L6" s="16" t="n">
        <v>970.82</v>
      </c>
    </row>
    <row r="7" customFormat="false" ht="14.25" hidden="false" customHeight="false" outlineLevel="0" collapsed="false">
      <c r="A7" s="13" t="s">
        <v>27</v>
      </c>
      <c r="B7" s="13" t="s">
        <v>28</v>
      </c>
      <c r="C7" s="1" t="str">
        <f aca="false">IFERROR(MID(B7,FIND("-",B7)+1,LEN(B7)),B7)</f>
        <v>6/30/2025</v>
      </c>
      <c r="E7" s="14" t="s">
        <v>29</v>
      </c>
      <c r="F7" s="1" t="n">
        <f aca="false">E7-C7</f>
        <v>40</v>
      </c>
      <c r="G7" s="13" t="n">
        <v>2</v>
      </c>
      <c r="H7" s="15" t="n">
        <v>80605.52</v>
      </c>
      <c r="I7" s="16" t="n">
        <v>81251.43</v>
      </c>
      <c r="K7" s="13"/>
      <c r="L7" s="13"/>
    </row>
    <row r="8" customFormat="false" ht="14.25" hidden="false" customHeight="false" outlineLevel="0" collapsed="false">
      <c r="A8" s="13" t="s">
        <v>24</v>
      </c>
      <c r="B8" s="13" t="s">
        <v>30</v>
      </c>
      <c r="C8" s="1" t="str">
        <f aca="false">IFERROR(MID(B8,FIND("-",B8)+1,LEN(B8)),B8)</f>
        <v>7/31/2025</v>
      </c>
      <c r="E8" s="14" t="s">
        <v>29</v>
      </c>
      <c r="F8" s="1" t="n">
        <f aca="false">E8-C8</f>
        <v>9</v>
      </c>
      <c r="G8" s="13" t="n">
        <v>2</v>
      </c>
      <c r="H8" s="15" t="n">
        <v>79635.66</v>
      </c>
      <c r="I8" s="16" t="n">
        <v>84499.18</v>
      </c>
      <c r="K8" s="13"/>
      <c r="L8" s="13"/>
    </row>
    <row r="9" customFormat="false" ht="14.25" hidden="false" customHeight="false" outlineLevel="0" collapsed="false">
      <c r="A9" s="18" t="s">
        <v>24</v>
      </c>
      <c r="B9" s="18" t="s">
        <v>31</v>
      </c>
      <c r="C9" s="1" t="str">
        <f aca="false">IFERROR(MID(B9,FIND("-",B9)+1,LEN(B9)),B9)</f>
        <v>8/31/2025</v>
      </c>
      <c r="E9" s="19" t="s">
        <v>32</v>
      </c>
      <c r="F9" s="1" t="n">
        <f aca="false">E9-C9</f>
        <v>44</v>
      </c>
      <c r="G9" s="18" t="n">
        <v>2</v>
      </c>
      <c r="H9" s="20" t="n">
        <v>79406.48</v>
      </c>
      <c r="I9" s="21" t="n">
        <v>256693.35</v>
      </c>
      <c r="K9" s="18"/>
      <c r="L9" s="18"/>
    </row>
    <row r="10" customFormat="false" ht="14.25" hidden="false" customHeight="false" outlineLevel="0" collapsed="false">
      <c r="A10" s="13" t="s">
        <v>27</v>
      </c>
      <c r="B10" s="13" t="s">
        <v>30</v>
      </c>
      <c r="C10" s="1" t="str">
        <f aca="false">IFERROR(MID(B10,FIND("-",B10)+1,LEN(B10)),B10)</f>
        <v>7/31/2025</v>
      </c>
      <c r="E10" s="14" t="s">
        <v>33</v>
      </c>
      <c r="F10" s="1" t="n">
        <f aca="false">E10-C10</f>
        <v>8</v>
      </c>
      <c r="G10" s="13" t="n">
        <v>2</v>
      </c>
      <c r="H10" s="15" t="n">
        <v>78831.74</v>
      </c>
      <c r="I10" s="16" t="n">
        <v>85355.07</v>
      </c>
      <c r="K10" s="16" t="n">
        <v>3985.5</v>
      </c>
      <c r="L10" s="13"/>
    </row>
    <row r="11" customFormat="false" ht="14.25" hidden="false" customHeight="false" outlineLevel="0" collapsed="false">
      <c r="A11" s="13" t="s">
        <v>24</v>
      </c>
      <c r="B11" s="13" t="s">
        <v>34</v>
      </c>
      <c r="C11" s="1" t="str">
        <f aca="false">IFERROR(MID(B11,FIND("-",B11)+1,LEN(B11)),B11)</f>
        <v>5/31/2025</v>
      </c>
      <c r="E11" s="14" t="s">
        <v>17</v>
      </c>
      <c r="F11" s="1" t="n">
        <f aca="false">E11-C11</f>
        <v>75</v>
      </c>
      <c r="G11" s="13" t="n">
        <v>2</v>
      </c>
      <c r="H11" s="15" t="n">
        <v>78636.89</v>
      </c>
      <c r="I11" s="16" t="n">
        <v>81606.07</v>
      </c>
      <c r="K11" s="13"/>
      <c r="L11" s="16" t="n">
        <v>2968.88</v>
      </c>
    </row>
    <row r="12" customFormat="false" ht="14.25" hidden="false" customHeight="false" outlineLevel="0" collapsed="false">
      <c r="A12" s="18" t="s">
        <v>35</v>
      </c>
      <c r="B12" s="18" t="s">
        <v>36</v>
      </c>
      <c r="C12" s="1" t="str">
        <f aca="false">B12</f>
        <v>8/6/2025</v>
      </c>
      <c r="E12" s="19" t="n">
        <f aca="false">C12+30</f>
        <v>45905</v>
      </c>
      <c r="G12" s="18" t="n">
        <v>1</v>
      </c>
      <c r="H12" s="22" t="n">
        <v>68271.18</v>
      </c>
      <c r="I12" s="21" t="n">
        <v>211932.87</v>
      </c>
      <c r="K12" s="18" t="n">
        <v>68271.18</v>
      </c>
      <c r="L12" s="18"/>
    </row>
    <row r="13" customFormat="false" ht="14.25" hidden="false" customHeight="false" outlineLevel="0" collapsed="false">
      <c r="A13" s="13" t="s">
        <v>37</v>
      </c>
      <c r="B13" s="13" t="s">
        <v>38</v>
      </c>
      <c r="C13" s="1" t="str">
        <f aca="false">IFERROR(MID(B13,FIND("-",B13)+1,LEN(B13)),B13)</f>
        <v>8/4/2025</v>
      </c>
      <c r="E13" s="14" t="s">
        <v>39</v>
      </c>
      <c r="F13" s="1" t="n">
        <f aca="false">E13-C13</f>
        <v>46</v>
      </c>
      <c r="G13" s="13" t="n">
        <v>1</v>
      </c>
      <c r="H13" s="15" t="n">
        <v>67945.47</v>
      </c>
      <c r="I13" s="16" t="n">
        <v>214179.76</v>
      </c>
      <c r="K13" s="13"/>
      <c r="L13" s="13"/>
    </row>
    <row r="14" customFormat="false" ht="14.25" hidden="false" customHeight="false" outlineLevel="0" collapsed="false">
      <c r="A14" s="18" t="s">
        <v>37</v>
      </c>
      <c r="B14" s="18" t="s">
        <v>40</v>
      </c>
      <c r="C14" s="1" t="str">
        <f aca="false">IFERROR(MID(B14,FIND("-",B14)+1,LEN(B14)),B14)</f>
        <v>11/4/2025</v>
      </c>
      <c r="E14" s="19" t="s">
        <v>41</v>
      </c>
      <c r="F14" s="1" t="n">
        <f aca="false">E14-C14</f>
        <v>31</v>
      </c>
      <c r="G14" s="18" t="n">
        <v>1</v>
      </c>
      <c r="H14" s="20" t="n">
        <v>42331</v>
      </c>
      <c r="I14" s="21" t="n">
        <v>42330.6</v>
      </c>
      <c r="K14" s="18"/>
      <c r="L14" s="18"/>
    </row>
    <row r="15" customFormat="false" ht="14.25" hidden="false" customHeight="false" outlineLevel="0" collapsed="false">
      <c r="A15" s="13" t="s">
        <v>37</v>
      </c>
      <c r="B15" s="13" t="s">
        <v>42</v>
      </c>
      <c r="C15" s="1" t="str">
        <f aca="false">IFERROR(MID(B15,FIND("-",B15)+1,LEN(B15)),B15)</f>
        <v>12/8/2025</v>
      </c>
      <c r="E15" s="14" t="s">
        <v>43</v>
      </c>
      <c r="F15" s="1" t="n">
        <f aca="false">E15-C15</f>
        <v>28</v>
      </c>
      <c r="G15" s="13" t="n">
        <v>1</v>
      </c>
      <c r="H15" s="15" t="n">
        <v>42330.61</v>
      </c>
      <c r="I15" s="16" t="n">
        <v>42330.6</v>
      </c>
      <c r="K15" s="13"/>
      <c r="L15" s="13"/>
    </row>
    <row r="16" customFormat="false" ht="14.25" hidden="false" customHeight="false" outlineLevel="0" collapsed="false">
      <c r="A16" s="13" t="s">
        <v>37</v>
      </c>
      <c r="B16" s="13" t="s">
        <v>44</v>
      </c>
      <c r="C16" s="1" t="str">
        <f aca="false">B16</f>
        <v>1/20/2026</v>
      </c>
      <c r="E16" s="19" t="n">
        <f aca="false">C16+30</f>
        <v>46072</v>
      </c>
      <c r="G16" s="13" t="n">
        <v>1</v>
      </c>
      <c r="H16" s="15" t="n">
        <v>42330.6</v>
      </c>
      <c r="I16" s="16" t="n">
        <v>42330.6</v>
      </c>
      <c r="K16" s="13"/>
      <c r="L16" s="13"/>
    </row>
    <row r="17" customFormat="false" ht="14.25" hidden="false" customHeight="false" outlineLevel="0" collapsed="false">
      <c r="A17" s="13" t="s">
        <v>37</v>
      </c>
      <c r="B17" s="13" t="s">
        <v>45</v>
      </c>
      <c r="C17" s="1" t="str">
        <f aca="false">IFERROR(MID(B17,FIND("-",B17)+1,LEN(B17)),B17)</f>
        <v>9/9/2025</v>
      </c>
      <c r="E17" s="14" t="s">
        <v>46</v>
      </c>
      <c r="F17" s="1" t="n">
        <f aca="false">E17-C17</f>
        <v>48</v>
      </c>
      <c r="G17" s="13" t="n">
        <v>1</v>
      </c>
      <c r="H17" s="15" t="n">
        <v>42329</v>
      </c>
      <c r="I17" s="16" t="n">
        <v>42330.6</v>
      </c>
      <c r="K17" s="13"/>
      <c r="L17" s="13"/>
    </row>
    <row r="18" customFormat="false" ht="14.25" hidden="false" customHeight="false" outlineLevel="0" collapsed="false">
      <c r="A18" s="13" t="s">
        <v>37</v>
      </c>
      <c r="B18" s="13" t="s">
        <v>47</v>
      </c>
      <c r="C18" s="1" t="str">
        <f aca="false">IFERROR(MID(B18,FIND("-",B18)+1,LEN(B18)),B18)</f>
        <v>9/29/2025</v>
      </c>
      <c r="E18" s="14" t="s">
        <v>48</v>
      </c>
      <c r="F18" s="1" t="n">
        <f aca="false">E18-C18</f>
        <v>38</v>
      </c>
      <c r="G18" s="13" t="n">
        <v>1</v>
      </c>
      <c r="H18" s="15" t="n">
        <v>42329</v>
      </c>
      <c r="I18" s="16" t="n">
        <v>42330.6</v>
      </c>
      <c r="K18" s="13"/>
      <c r="L18" s="13"/>
    </row>
    <row r="19" customFormat="false" ht="14.25" hidden="false" customHeight="false" outlineLevel="0" collapsed="false">
      <c r="A19" s="13" t="s">
        <v>37</v>
      </c>
      <c r="B19" s="13" t="s">
        <v>32</v>
      </c>
      <c r="C19" s="1" t="str">
        <f aca="false">IFERROR(MID(B19,FIND("-",B19)+1,LEN(B19)),B19)</f>
        <v>10/14/2025</v>
      </c>
      <c r="E19" s="14" t="s">
        <v>49</v>
      </c>
      <c r="F19" s="1" t="n">
        <f aca="false">E19-C19</f>
        <v>24</v>
      </c>
      <c r="G19" s="13" t="n">
        <v>1</v>
      </c>
      <c r="H19" s="15" t="n">
        <v>42329</v>
      </c>
      <c r="I19" s="16" t="n">
        <v>42330.6</v>
      </c>
      <c r="K19" s="13"/>
      <c r="L19" s="13"/>
    </row>
    <row r="20" customFormat="false" ht="14.25" hidden="false" customHeight="false" outlineLevel="0" collapsed="false">
      <c r="A20" s="13" t="s">
        <v>37</v>
      </c>
      <c r="B20" s="13" t="s">
        <v>50</v>
      </c>
      <c r="C20" s="1" t="str">
        <f aca="false">IFERROR(MID(B20,FIND("-",B20)+1,LEN(B20)),B20)</f>
        <v>11/24/2025</v>
      </c>
      <c r="E20" s="14" t="s">
        <v>51</v>
      </c>
      <c r="F20" s="1" t="n">
        <f aca="false">E20-C20</f>
        <v>18</v>
      </c>
      <c r="G20" s="13" t="n">
        <v>1</v>
      </c>
      <c r="H20" s="15" t="n">
        <v>42329</v>
      </c>
      <c r="I20" s="16" t="n">
        <v>42330.6</v>
      </c>
      <c r="K20" s="13"/>
      <c r="L20" s="13"/>
    </row>
    <row r="21" customFormat="false" ht="14.25" hidden="false" customHeight="false" outlineLevel="0" collapsed="false">
      <c r="A21" s="13" t="s">
        <v>37</v>
      </c>
      <c r="B21" s="13" t="s">
        <v>52</v>
      </c>
      <c r="C21" s="1" t="str">
        <f aca="false">IFERROR(MID(B21,FIND("-",B21)+1,LEN(B21)),B21)</f>
        <v>7/17/2025</v>
      </c>
      <c r="E21" s="14" t="s">
        <v>53</v>
      </c>
      <c r="F21" s="1" t="n">
        <f aca="false">E21-C21</f>
        <v>70</v>
      </c>
      <c r="G21" s="13" t="n">
        <v>1</v>
      </c>
      <c r="H21" s="15" t="n">
        <v>42264.6</v>
      </c>
      <c r="I21" s="16" t="n">
        <v>42264.59</v>
      </c>
      <c r="K21" s="13"/>
      <c r="L21" s="13"/>
    </row>
    <row r="22" customFormat="false" ht="14.25" hidden="false" customHeight="false" outlineLevel="0" collapsed="false">
      <c r="A22" s="13" t="s">
        <v>37</v>
      </c>
      <c r="B22" s="13" t="s">
        <v>54</v>
      </c>
      <c r="C22" s="1" t="str">
        <f aca="false">IFERROR(MID(B22,FIND("-",B22)+1,LEN(B22)),B22)</f>
        <v>8/18/2025</v>
      </c>
      <c r="E22" s="14" t="s">
        <v>55</v>
      </c>
      <c r="F22" s="1" t="n">
        <f aca="false">E22-C22</f>
        <v>39</v>
      </c>
      <c r="G22" s="13" t="n">
        <v>1</v>
      </c>
      <c r="H22" s="15" t="n">
        <v>42254</v>
      </c>
      <c r="I22" s="16" t="n">
        <v>42255.35</v>
      </c>
      <c r="K22" s="13"/>
      <c r="L22" s="13"/>
    </row>
    <row r="23" customFormat="false" ht="14.25" hidden="false" customHeight="false" outlineLevel="0" collapsed="false">
      <c r="A23" s="13" t="s">
        <v>27</v>
      </c>
      <c r="B23" s="13" t="s">
        <v>53</v>
      </c>
      <c r="C23" s="1" t="str">
        <f aca="false">IFERROR(MID(B23,FIND("-",B23)+1,LEN(B23)),B23)</f>
        <v>9/25/2025</v>
      </c>
      <c r="E23" s="14" t="s">
        <v>56</v>
      </c>
      <c r="F23" s="1" t="n">
        <f aca="false">E23-C23</f>
        <v>30</v>
      </c>
      <c r="G23" s="13" t="n">
        <v>1</v>
      </c>
      <c r="H23" s="15" t="n">
        <v>40275.04</v>
      </c>
      <c r="I23" s="16" t="n">
        <v>43805.91</v>
      </c>
      <c r="K23" s="16" t="n">
        <v>3508.87</v>
      </c>
      <c r="L23" s="13"/>
    </row>
    <row r="24" customFormat="false" ht="14.25" hidden="false" customHeight="false" outlineLevel="0" collapsed="false">
      <c r="A24" s="13" t="s">
        <v>27</v>
      </c>
      <c r="B24" s="13" t="s">
        <v>57</v>
      </c>
      <c r="C24" s="1" t="str">
        <f aca="false">IFERROR(MID(B24,FIND("-",B24)+1,LEN(B24)),B24)</f>
        <v>8/27/2025</v>
      </c>
      <c r="E24" s="14" t="s">
        <v>58</v>
      </c>
      <c r="F24" s="1" t="n">
        <f aca="false">E24-C24</f>
        <v>52</v>
      </c>
      <c r="G24" s="13" t="n">
        <v>1</v>
      </c>
      <c r="H24" s="15" t="n">
        <v>40117.09</v>
      </c>
      <c r="I24" s="16" t="n">
        <v>43186.49</v>
      </c>
      <c r="K24" s="16" t="n">
        <v>3069.4</v>
      </c>
      <c r="L24" s="13"/>
    </row>
    <row r="25" customFormat="false" ht="14.25" hidden="false" customHeight="false" outlineLevel="0" collapsed="false">
      <c r="A25" s="13" t="s">
        <v>21</v>
      </c>
      <c r="B25" s="13" t="s">
        <v>59</v>
      </c>
      <c r="C25" s="1" t="str">
        <f aca="false">IFERROR(MID(B25,FIND("-",B25)+1,LEN(B25)),B25)</f>
        <v>7/16/2025</v>
      </c>
      <c r="E25" s="14" t="s">
        <v>60</v>
      </c>
      <c r="F25" s="1" t="n">
        <f aca="false">E25-C25</f>
        <v>50</v>
      </c>
      <c r="G25" s="13" t="n">
        <v>1</v>
      </c>
      <c r="H25" s="15" t="n">
        <v>40036.1</v>
      </c>
      <c r="I25" s="16" t="n">
        <v>43033.45</v>
      </c>
      <c r="K25" s="16" t="n">
        <v>2351.13</v>
      </c>
      <c r="L25" s="13"/>
    </row>
    <row r="26" customFormat="false" ht="14.25" hidden="false" customHeight="false" outlineLevel="0" collapsed="false">
      <c r="A26" s="13" t="s">
        <v>21</v>
      </c>
      <c r="B26" s="13" t="s">
        <v>61</v>
      </c>
      <c r="C26" s="1" t="str">
        <f aca="false">IFERROR(MID(B26,FIND("-",B26)+1,LEN(B26)),B26)</f>
        <v>12/18/2025</v>
      </c>
      <c r="E26" s="14" t="s">
        <v>62</v>
      </c>
      <c r="F26" s="1" t="n">
        <f aca="false">E26-C26</f>
        <v>19</v>
      </c>
      <c r="G26" s="13" t="n">
        <v>1</v>
      </c>
      <c r="H26" s="15" t="n">
        <v>39898.85</v>
      </c>
      <c r="I26" s="16" t="n">
        <v>42336.36</v>
      </c>
      <c r="K26" s="13"/>
      <c r="L26" s="13"/>
    </row>
    <row r="27" customFormat="false" ht="14.25" hidden="false" customHeight="false" outlineLevel="0" collapsed="false">
      <c r="A27" s="13" t="s">
        <v>12</v>
      </c>
      <c r="B27" s="13" t="s">
        <v>63</v>
      </c>
      <c r="C27" s="1" t="str">
        <f aca="false">IFERROR(MID(B27,FIND("-",B27)+1,LEN(B27)),B27)</f>
        <v>11/20/2025</v>
      </c>
      <c r="E27" s="14" t="s">
        <v>64</v>
      </c>
      <c r="F27" s="1" t="n">
        <f aca="false">E27-C27</f>
        <v>30</v>
      </c>
      <c r="G27" s="13" t="n">
        <v>1</v>
      </c>
      <c r="H27" s="15" t="n">
        <v>39898.85</v>
      </c>
      <c r="I27" s="16" t="n">
        <v>42330.6</v>
      </c>
      <c r="K27" s="13"/>
      <c r="L27" s="13"/>
    </row>
    <row r="28" customFormat="false" ht="14.25" hidden="false" customHeight="false" outlineLevel="0" collapsed="false">
      <c r="A28" s="13" t="s">
        <v>21</v>
      </c>
      <c r="B28" s="13" t="s">
        <v>44</v>
      </c>
      <c r="C28" s="1" t="str">
        <f aca="false">B28</f>
        <v>1/20/2026</v>
      </c>
      <c r="E28" s="23" t="n">
        <f aca="false">C28+30</f>
        <v>46072</v>
      </c>
      <c r="G28" s="24" t="n">
        <v>1</v>
      </c>
      <c r="H28" s="15" t="n">
        <v>39898.85</v>
      </c>
      <c r="I28" s="16" t="n">
        <v>42330.6</v>
      </c>
      <c r="K28" s="24"/>
      <c r="L28" s="24"/>
    </row>
    <row r="29" customFormat="false" ht="14.25" hidden="false" customHeight="false" outlineLevel="0" collapsed="false">
      <c r="A29" s="13" t="s">
        <v>12</v>
      </c>
      <c r="B29" s="13" t="s">
        <v>65</v>
      </c>
      <c r="C29" s="1" t="str">
        <f aca="false">B29</f>
        <v>12/19/2025</v>
      </c>
      <c r="E29" s="23" t="n">
        <f aca="false">C29+30</f>
        <v>46040</v>
      </c>
      <c r="G29" s="13" t="n">
        <v>1</v>
      </c>
      <c r="H29" s="15" t="n">
        <v>39898.85</v>
      </c>
      <c r="I29" s="16" t="n">
        <v>42330.6</v>
      </c>
      <c r="K29" s="13"/>
      <c r="L29" s="13"/>
    </row>
    <row r="30" customFormat="false" ht="15" hidden="false" customHeight="false" outlineLevel="0" collapsed="false">
      <c r="A30" s="13" t="s">
        <v>21</v>
      </c>
      <c r="B30" s="13" t="s">
        <v>66</v>
      </c>
      <c r="C30" s="1" t="str">
        <f aca="false">IFERROR(MID(B30,FIND("-",B30)+1,LEN(B30)),B30)</f>
        <v>10/1/2025</v>
      </c>
      <c r="E30" s="14" t="s">
        <v>32</v>
      </c>
      <c r="F30" s="1" t="n">
        <f aca="false">E30-C30</f>
        <v>13</v>
      </c>
      <c r="G30" s="13" t="n">
        <v>1</v>
      </c>
      <c r="H30" s="15" t="n">
        <v>39898.84</v>
      </c>
      <c r="I30" s="16" t="n">
        <v>42330.6</v>
      </c>
      <c r="K30" s="16" t="n">
        <v>1673.93</v>
      </c>
      <c r="L30" s="13"/>
      <c r="N30" s="25" t="s">
        <v>67</v>
      </c>
      <c r="O30" s="25" t="s">
        <v>68</v>
      </c>
      <c r="P30" s="25" t="s">
        <v>69</v>
      </c>
    </row>
    <row r="31" customFormat="false" ht="14.25" hidden="false" customHeight="false" outlineLevel="0" collapsed="false">
      <c r="A31" s="13" t="s">
        <v>21</v>
      </c>
      <c r="B31" s="13" t="s">
        <v>70</v>
      </c>
      <c r="C31" s="1" t="str">
        <f aca="false">IFERROR(MID(B31,FIND("-",B31)+1,LEN(B31)),B31)</f>
        <v>9/17/2025</v>
      </c>
      <c r="E31" s="14" t="s">
        <v>71</v>
      </c>
      <c r="F31" s="1" t="n">
        <f aca="false">E31-C31</f>
        <v>30</v>
      </c>
      <c r="G31" s="13" t="n">
        <v>1</v>
      </c>
      <c r="H31" s="15" t="n">
        <v>39898.84</v>
      </c>
      <c r="I31" s="16" t="n">
        <v>42330.6</v>
      </c>
      <c r="K31" s="16" t="n">
        <v>2431.76</v>
      </c>
      <c r="L31" s="13"/>
      <c r="N31" s="13"/>
      <c r="O31" s="13"/>
      <c r="P31" s="13"/>
    </row>
    <row r="32" customFormat="false" ht="14.25" hidden="false" customHeight="false" outlineLevel="0" collapsed="false">
      <c r="A32" s="13" t="s">
        <v>24</v>
      </c>
      <c r="B32" s="13" t="s">
        <v>72</v>
      </c>
      <c r="C32" s="1" t="str">
        <f aca="false">IFERROR(MID(B32,FIND("-",B32)+1,LEN(B32)),B32)</f>
        <v>9/24/2025</v>
      </c>
      <c r="E32" s="14" t="s">
        <v>73</v>
      </c>
      <c r="F32" s="1" t="n">
        <f aca="false">E32-C32</f>
        <v>28</v>
      </c>
      <c r="G32" s="13" t="n">
        <v>1</v>
      </c>
      <c r="H32" s="15" t="n">
        <v>39898.84</v>
      </c>
      <c r="I32" s="16" t="n">
        <v>42330.6</v>
      </c>
      <c r="K32" s="13"/>
      <c r="L32" s="13"/>
      <c r="N32" s="13" t="n">
        <v>2396</v>
      </c>
      <c r="O32" s="13"/>
      <c r="P32" s="13" t="s">
        <v>74</v>
      </c>
    </row>
    <row r="33" customFormat="false" ht="14.25" hidden="false" customHeight="false" outlineLevel="0" collapsed="false">
      <c r="A33" s="13" t="s">
        <v>21</v>
      </c>
      <c r="B33" s="13" t="s">
        <v>75</v>
      </c>
      <c r="C33" s="1" t="str">
        <f aca="false">IFERROR(MID(B33,FIND("-",B33)+1,LEN(B33)),B33)</f>
        <v>10/15/2025</v>
      </c>
      <c r="E33" s="14" t="s">
        <v>76</v>
      </c>
      <c r="F33" s="1" t="n">
        <f aca="false">E33-C33</f>
        <v>13</v>
      </c>
      <c r="G33" s="13" t="n">
        <v>1</v>
      </c>
      <c r="H33" s="15" t="n">
        <v>39898.84</v>
      </c>
      <c r="I33" s="16" t="n">
        <v>42330.6</v>
      </c>
      <c r="K33" s="16" t="n">
        <v>1673.93</v>
      </c>
      <c r="L33" s="13"/>
      <c r="N33" s="13"/>
      <c r="O33" s="13"/>
      <c r="P33" s="13"/>
    </row>
    <row r="34" customFormat="false" ht="14.25" hidden="false" customHeight="false" outlineLevel="0" collapsed="false">
      <c r="A34" s="13" t="s">
        <v>24</v>
      </c>
      <c r="B34" s="13" t="s">
        <v>73</v>
      </c>
      <c r="C34" s="1" t="str">
        <f aca="false">IFERROR(MID(B34,FIND("-",B34)+1,LEN(B34)),B34)</f>
        <v>10/22/2025</v>
      </c>
      <c r="E34" s="14" t="s">
        <v>77</v>
      </c>
      <c r="F34" s="1" t="n">
        <f aca="false">E34-C34</f>
        <v>10</v>
      </c>
      <c r="G34" s="13" t="n">
        <v>1</v>
      </c>
      <c r="H34" s="15" t="n">
        <v>39898.84</v>
      </c>
      <c r="I34" s="16" t="n">
        <v>42330.6</v>
      </c>
      <c r="K34" s="16" t="n">
        <v>1673.93</v>
      </c>
      <c r="L34" s="13"/>
      <c r="N34" s="13"/>
      <c r="O34" s="13"/>
      <c r="P34" s="13"/>
    </row>
    <row r="35" customFormat="false" ht="14.25" hidden="false" customHeight="false" outlineLevel="0" collapsed="false">
      <c r="A35" s="13" t="s">
        <v>27</v>
      </c>
      <c r="B35" s="13" t="s">
        <v>78</v>
      </c>
      <c r="C35" s="1" t="str">
        <f aca="false">IFERROR(MID(B35,FIND("-",B35)+1,LEN(B35)),B35)</f>
        <v>9/11/2025</v>
      </c>
      <c r="E35" s="14" t="s">
        <v>77</v>
      </c>
      <c r="F35" s="1" t="n">
        <f aca="false">E35-C35</f>
        <v>51</v>
      </c>
      <c r="G35" s="13" t="n">
        <v>1</v>
      </c>
      <c r="H35" s="15" t="n">
        <v>39898.84</v>
      </c>
      <c r="I35" s="16" t="n">
        <v>42330.3</v>
      </c>
      <c r="K35" s="16" t="n">
        <v>1673.93</v>
      </c>
      <c r="L35" s="13"/>
      <c r="N35" s="18"/>
      <c r="O35" s="18"/>
      <c r="P35" s="18" t="s">
        <v>79</v>
      </c>
    </row>
    <row r="36" customFormat="false" ht="14.25" hidden="false" customHeight="false" outlineLevel="0" collapsed="false">
      <c r="A36" s="13" t="s">
        <v>21</v>
      </c>
      <c r="B36" s="13" t="s">
        <v>80</v>
      </c>
      <c r="C36" s="1" t="str">
        <f aca="false">IFERROR(MID(B36,FIND("-",B36)+1,LEN(B36)),B36)</f>
        <v>10/29/2025</v>
      </c>
      <c r="E36" s="14" t="s">
        <v>81</v>
      </c>
      <c r="F36" s="1" t="n">
        <f aca="false">E36-C36</f>
        <v>14</v>
      </c>
      <c r="G36" s="13" t="n">
        <v>1</v>
      </c>
      <c r="H36" s="15" t="n">
        <v>39898.84</v>
      </c>
      <c r="I36" s="16" t="n">
        <v>42330.6</v>
      </c>
      <c r="K36" s="16" t="n">
        <v>1673.93</v>
      </c>
      <c r="L36" s="13"/>
      <c r="N36" s="13"/>
      <c r="O36" s="13"/>
      <c r="P36" s="13"/>
    </row>
    <row r="37" customFormat="false" ht="14.25" hidden="false" customHeight="false" outlineLevel="0" collapsed="false">
      <c r="A37" s="26" t="s">
        <v>27</v>
      </c>
      <c r="B37" s="26" t="s">
        <v>75</v>
      </c>
      <c r="C37" s="1" t="str">
        <f aca="false">IFERROR(MID(B37,FIND("-",B37)+1,LEN(B37)),B37)</f>
        <v>10/15/2025</v>
      </c>
      <c r="E37" s="19" t="s">
        <v>82</v>
      </c>
      <c r="F37" s="1" t="n">
        <f aca="false">E37-C37</f>
        <v>31</v>
      </c>
      <c r="G37" s="18" t="n">
        <v>1</v>
      </c>
      <c r="H37" s="22" t="n">
        <v>39898.84</v>
      </c>
      <c r="I37" s="27" t="n">
        <v>42330.6</v>
      </c>
      <c r="K37" s="27" t="n">
        <v>1673.93</v>
      </c>
      <c r="L37" s="18"/>
      <c r="N37" s="13" t="n">
        <v>1867</v>
      </c>
      <c r="O37" s="13"/>
      <c r="P37" s="13" t="s">
        <v>83</v>
      </c>
    </row>
    <row r="38" customFormat="false" ht="14.25" hidden="false" customHeight="false" outlineLevel="0" collapsed="false">
      <c r="A38" s="13" t="s">
        <v>24</v>
      </c>
      <c r="B38" s="13" t="s">
        <v>84</v>
      </c>
      <c r="C38" s="1" t="str">
        <f aca="false">IFERROR(MID(B38,FIND("-",B38)+1,LEN(B38)),B38)</f>
        <v>11/5/2025</v>
      </c>
      <c r="E38" s="14" t="s">
        <v>85</v>
      </c>
      <c r="F38" s="1" t="n">
        <f aca="false">E38-C38</f>
        <v>13</v>
      </c>
      <c r="G38" s="13" t="n">
        <v>1</v>
      </c>
      <c r="H38" s="15" t="n">
        <v>39898.84</v>
      </c>
      <c r="I38" s="16" t="n">
        <v>42330.6</v>
      </c>
      <c r="K38" s="16" t="n">
        <v>1673.93</v>
      </c>
      <c r="L38" s="13"/>
      <c r="N38" s="13"/>
      <c r="O38" s="13"/>
      <c r="P38" s="13"/>
    </row>
    <row r="39" customFormat="false" ht="14.25" hidden="false" customHeight="false" outlineLevel="0" collapsed="false">
      <c r="A39" s="13" t="s">
        <v>21</v>
      </c>
      <c r="B39" s="13" t="s">
        <v>86</v>
      </c>
      <c r="C39" s="1" t="str">
        <f aca="false">IFERROR(MID(B39,FIND("-",B39)+1,LEN(B39)),B39)</f>
        <v>9/3/2025</v>
      </c>
      <c r="E39" s="14" t="s">
        <v>87</v>
      </c>
      <c r="F39" s="1" t="n">
        <f aca="false">E39-C39</f>
        <v>79</v>
      </c>
      <c r="G39" s="13" t="n">
        <v>1</v>
      </c>
      <c r="H39" s="15" t="n">
        <v>39898.84</v>
      </c>
      <c r="I39" s="16" t="n">
        <v>42330.6</v>
      </c>
      <c r="K39" s="16" t="n">
        <v>1673.93</v>
      </c>
      <c r="L39" s="13"/>
      <c r="N39" s="13"/>
      <c r="O39" s="13"/>
      <c r="P39" s="13"/>
    </row>
    <row r="40" customFormat="false" ht="14.25" hidden="false" customHeight="false" outlineLevel="0" collapsed="false">
      <c r="A40" s="13" t="s">
        <v>24</v>
      </c>
      <c r="B40" s="13" t="s">
        <v>88</v>
      </c>
      <c r="C40" s="1" t="str">
        <f aca="false">IFERROR(MID(B40,FIND("-",B40)+1,LEN(B40)),B40)</f>
        <v>11/19/2025</v>
      </c>
      <c r="E40" s="14" t="s">
        <v>89</v>
      </c>
      <c r="F40" s="1" t="n">
        <f aca="false">E40-C40</f>
        <v>10</v>
      </c>
      <c r="G40" s="13" t="n">
        <v>1</v>
      </c>
      <c r="H40" s="15" t="n">
        <v>39898.84</v>
      </c>
      <c r="I40" s="16" t="n">
        <v>42330.6</v>
      </c>
      <c r="K40" s="16" t="n">
        <v>1673.93</v>
      </c>
      <c r="L40" s="13"/>
      <c r="N40" s="13"/>
      <c r="O40" s="13"/>
      <c r="P40" s="13"/>
    </row>
    <row r="41" customFormat="false" ht="14.25" hidden="false" customHeight="false" outlineLevel="0" collapsed="false">
      <c r="A41" s="13" t="s">
        <v>21</v>
      </c>
      <c r="B41" s="13" t="s">
        <v>63</v>
      </c>
      <c r="C41" s="1" t="str">
        <f aca="false">IFERROR(MID(B41,FIND("-",B41)+1,LEN(B41)),B41)</f>
        <v>11/20/2025</v>
      </c>
      <c r="E41" s="14" t="s">
        <v>90</v>
      </c>
      <c r="F41" s="1" t="n">
        <f aca="false">E41-C41</f>
        <v>12</v>
      </c>
      <c r="G41" s="13" t="n">
        <v>1</v>
      </c>
      <c r="H41" s="15" t="n">
        <v>39898.84</v>
      </c>
      <c r="I41" s="16" t="n">
        <v>42330.6</v>
      </c>
      <c r="K41" s="16" t="n">
        <v>1673.93</v>
      </c>
      <c r="L41" s="13"/>
      <c r="N41" s="13"/>
      <c r="O41" s="13"/>
      <c r="P41" s="13"/>
    </row>
    <row r="42" customFormat="false" ht="14.25" hidden="false" customHeight="false" outlineLevel="0" collapsed="false">
      <c r="A42" s="13" t="s">
        <v>27</v>
      </c>
      <c r="B42" s="13" t="s">
        <v>91</v>
      </c>
      <c r="C42" s="1" t="str">
        <f aca="false">IFERROR(MID(B42,FIND("-",B42)+1,LEN(B42)),B42)</f>
        <v>10/30/2025</v>
      </c>
      <c r="E42" s="14" t="s">
        <v>92</v>
      </c>
      <c r="F42" s="1" t="n">
        <f aca="false">E42-C42</f>
        <v>32</v>
      </c>
      <c r="G42" s="13" t="n">
        <v>1</v>
      </c>
      <c r="H42" s="15" t="n">
        <v>39898.84</v>
      </c>
      <c r="I42" s="16" t="n">
        <v>42330.6</v>
      </c>
      <c r="K42" s="16" t="n">
        <v>1673.93</v>
      </c>
      <c r="L42" s="13"/>
      <c r="N42" s="13"/>
      <c r="O42" s="13"/>
      <c r="P42" s="13"/>
    </row>
    <row r="43" customFormat="false" ht="14.25" hidden="false" customHeight="false" outlineLevel="0" collapsed="false">
      <c r="A43" s="13" t="s">
        <v>27</v>
      </c>
      <c r="B43" s="13" t="s">
        <v>93</v>
      </c>
      <c r="C43" s="1" t="str">
        <f aca="false">IFERROR(MID(B43,FIND("-",B43)+1,LEN(B43)),B43)</f>
        <v>11/13/2025</v>
      </c>
      <c r="E43" s="14" t="s">
        <v>94</v>
      </c>
      <c r="F43" s="1" t="n">
        <f aca="false">E43-C43</f>
        <v>32</v>
      </c>
      <c r="G43" s="13" t="n">
        <v>1</v>
      </c>
      <c r="H43" s="15" t="n">
        <v>39898.84</v>
      </c>
      <c r="I43" s="16" t="n">
        <v>42330.6</v>
      </c>
      <c r="K43" s="16" t="n">
        <v>1673.93</v>
      </c>
      <c r="L43" s="13"/>
      <c r="N43" s="13"/>
      <c r="O43" s="13"/>
      <c r="P43" s="13"/>
    </row>
    <row r="44" customFormat="false" ht="14.25" hidden="false" customHeight="false" outlineLevel="0" collapsed="false">
      <c r="A44" s="13" t="s">
        <v>24</v>
      </c>
      <c r="B44" s="13" t="s">
        <v>95</v>
      </c>
      <c r="C44" s="1" t="str">
        <f aca="false">IFERROR(MID(B44,FIND("-",B44)+1,LEN(B44)),B44)</f>
        <v>12/4/2025</v>
      </c>
      <c r="E44" s="14" t="s">
        <v>96</v>
      </c>
      <c r="F44" s="1" t="n">
        <f aca="false">E44-C44</f>
        <v>12</v>
      </c>
      <c r="G44" s="13" t="n">
        <v>1</v>
      </c>
      <c r="H44" s="15" t="n">
        <v>39898.84</v>
      </c>
      <c r="I44" s="16" t="n">
        <v>42330.6</v>
      </c>
      <c r="K44" s="16" t="n">
        <v>1673.93</v>
      </c>
      <c r="L44" s="13"/>
      <c r="N44" s="18" t="n">
        <v>2296</v>
      </c>
      <c r="O44" s="18"/>
      <c r="P44" s="18" t="s">
        <v>97</v>
      </c>
    </row>
    <row r="45" customFormat="false" ht="14.25" hidden="false" customHeight="false" outlineLevel="0" collapsed="false">
      <c r="A45" s="13" t="s">
        <v>21</v>
      </c>
      <c r="B45" s="13" t="s">
        <v>95</v>
      </c>
      <c r="C45" s="1" t="str">
        <f aca="false">IFERROR(MID(B45,FIND("-",B45)+1,LEN(B45)),B45)</f>
        <v>12/4/2025</v>
      </c>
      <c r="E45" s="14" t="s">
        <v>96</v>
      </c>
      <c r="F45" s="1" t="n">
        <f aca="false">E45-C45</f>
        <v>12</v>
      </c>
      <c r="G45" s="13" t="n">
        <v>1</v>
      </c>
      <c r="H45" s="15" t="n">
        <v>39898.84</v>
      </c>
      <c r="I45" s="16" t="n">
        <v>42330.6</v>
      </c>
      <c r="K45" s="16" t="n">
        <v>1673.93</v>
      </c>
      <c r="L45" s="13"/>
      <c r="N45" s="13"/>
      <c r="O45" s="13"/>
      <c r="P45" s="13"/>
    </row>
    <row r="46" customFormat="false" ht="14.25" hidden="false" customHeight="false" outlineLevel="0" collapsed="false">
      <c r="A46" s="13" t="s">
        <v>24</v>
      </c>
      <c r="B46" s="13" t="s">
        <v>98</v>
      </c>
      <c r="C46" s="1" t="str">
        <f aca="false">IFERROR(MID(B46,FIND("-",B46)+1,LEN(B46)),B46)</f>
        <v>10/8/2025</v>
      </c>
      <c r="E46" s="14" t="s">
        <v>99</v>
      </c>
      <c r="F46" s="1" t="n">
        <f aca="false">E46-C46</f>
        <v>79</v>
      </c>
      <c r="G46" s="13" t="n">
        <v>1</v>
      </c>
      <c r="H46" s="15" t="n">
        <v>39898.84</v>
      </c>
      <c r="I46" s="16" t="n">
        <v>42330.6</v>
      </c>
      <c r="K46" s="16" t="n">
        <v>1673.93</v>
      </c>
      <c r="L46" s="13"/>
      <c r="N46" s="13"/>
      <c r="O46" s="13"/>
      <c r="P46" s="13"/>
    </row>
    <row r="47" customFormat="false" ht="14.25" hidden="false" customHeight="false" outlineLevel="0" collapsed="false">
      <c r="A47" s="13" t="s">
        <v>12</v>
      </c>
      <c r="B47" s="13" t="s">
        <v>98</v>
      </c>
      <c r="C47" s="1" t="str">
        <f aca="false">IFERROR(MID(B47,FIND("-",B47)+1,LEN(B47)),B47)</f>
        <v>10/8/2025</v>
      </c>
      <c r="E47" s="14" t="s">
        <v>76</v>
      </c>
      <c r="F47" s="1" t="n">
        <f aca="false">E47-C47</f>
        <v>20</v>
      </c>
      <c r="G47" s="13" t="n">
        <v>1</v>
      </c>
      <c r="H47" s="15" t="n">
        <v>39898</v>
      </c>
      <c r="I47" s="16" t="n">
        <v>42330.6</v>
      </c>
      <c r="K47" s="13"/>
      <c r="L47" s="13"/>
      <c r="N47" s="13"/>
      <c r="O47" s="13"/>
      <c r="P47" s="13"/>
    </row>
    <row r="48" customFormat="false" ht="14.25" hidden="false" customHeight="false" outlineLevel="0" collapsed="false">
      <c r="A48" s="13" t="s">
        <v>12</v>
      </c>
      <c r="B48" s="13" t="s">
        <v>100</v>
      </c>
      <c r="C48" s="1" t="str">
        <f aca="false">IFERROR(MID(B48,FIND("-",B48)+1,LEN(B48)),B48)</f>
        <v>9/23/2025</v>
      </c>
      <c r="E48" s="14" t="s">
        <v>101</v>
      </c>
      <c r="F48" s="1" t="n">
        <f aca="false">E48-C48</f>
        <v>11</v>
      </c>
      <c r="G48" s="13" t="n">
        <v>1</v>
      </c>
      <c r="H48" s="15" t="n">
        <v>39898</v>
      </c>
      <c r="I48" s="16" t="n">
        <v>42330.6</v>
      </c>
      <c r="K48" s="13"/>
      <c r="L48" s="13"/>
      <c r="N48" s="13"/>
      <c r="O48" s="13"/>
      <c r="P48" s="13"/>
    </row>
    <row r="49" customFormat="false" ht="14.25" hidden="false" customHeight="false" outlineLevel="0" collapsed="false">
      <c r="A49" s="13" t="s">
        <v>12</v>
      </c>
      <c r="B49" s="13" t="s">
        <v>102</v>
      </c>
      <c r="C49" s="1" t="str">
        <f aca="false">IFERROR(MID(B49,FIND("-",B49)+1,LEN(B49)),B49)</f>
        <v>10/23/2025</v>
      </c>
      <c r="E49" s="14" t="s">
        <v>77</v>
      </c>
      <c r="F49" s="1" t="n">
        <f aca="false">E49-C49</f>
        <v>9</v>
      </c>
      <c r="G49" s="13" t="n">
        <v>1</v>
      </c>
      <c r="H49" s="15" t="n">
        <v>39898</v>
      </c>
      <c r="I49" s="16" t="n">
        <v>42330.6</v>
      </c>
      <c r="K49" s="13"/>
      <c r="L49" s="13"/>
      <c r="N49" s="13"/>
      <c r="O49" s="13"/>
      <c r="P49" s="13"/>
    </row>
    <row r="50" customFormat="false" ht="14.25" hidden="false" customHeight="false" outlineLevel="0" collapsed="false">
      <c r="A50" s="13" t="s">
        <v>12</v>
      </c>
      <c r="B50" s="13" t="s">
        <v>95</v>
      </c>
      <c r="C50" s="1" t="str">
        <f aca="false">IFERROR(MID(B50,FIND("-",B50)+1,LEN(B50)),B50)</f>
        <v>12/4/2025</v>
      </c>
      <c r="E50" s="14" t="s">
        <v>103</v>
      </c>
      <c r="F50" s="1" t="n">
        <f aca="false">E50-C50</f>
        <v>27</v>
      </c>
      <c r="G50" s="13" t="n">
        <v>1</v>
      </c>
      <c r="H50" s="15" t="n">
        <v>39898</v>
      </c>
      <c r="I50" s="16" t="n">
        <v>42330.6</v>
      </c>
      <c r="K50" s="13"/>
      <c r="L50" s="13"/>
      <c r="N50" s="13"/>
      <c r="O50" s="13"/>
      <c r="P50" s="13"/>
    </row>
    <row r="51" customFormat="false" ht="14.25" hidden="false" customHeight="false" outlineLevel="0" collapsed="false">
      <c r="A51" s="13" t="s">
        <v>12</v>
      </c>
      <c r="B51" s="13" t="s">
        <v>104</v>
      </c>
      <c r="C51" s="1" t="str">
        <f aca="false">IFERROR(MID(B51,FIND("-",B51)+1,LEN(B51)),B51)</f>
        <v>8/26/2025</v>
      </c>
      <c r="E51" s="14" t="s">
        <v>105</v>
      </c>
      <c r="F51" s="1" t="n">
        <f aca="false">E51-C51</f>
        <v>44</v>
      </c>
      <c r="G51" s="13" t="n">
        <v>1</v>
      </c>
      <c r="H51" s="15" t="n">
        <v>39882</v>
      </c>
      <c r="I51" s="16" t="n">
        <v>42330.6</v>
      </c>
      <c r="K51" s="13"/>
      <c r="L51" s="13"/>
      <c r="N51" s="13"/>
      <c r="O51" s="13"/>
      <c r="P51" s="13"/>
    </row>
    <row r="52" customFormat="false" ht="14.25" hidden="false" customHeight="false" outlineLevel="0" collapsed="false">
      <c r="A52" s="13" t="s">
        <v>12</v>
      </c>
      <c r="B52" s="13" t="s">
        <v>45</v>
      </c>
      <c r="C52" s="1" t="str">
        <f aca="false">IFERROR(MID(B52,FIND("-",B52)+1,LEN(B52)),B52)</f>
        <v>9/9/2025</v>
      </c>
      <c r="E52" s="14" t="s">
        <v>32</v>
      </c>
      <c r="F52" s="1" t="n">
        <f aca="false">E52-C52</f>
        <v>35</v>
      </c>
      <c r="G52" s="13" t="n">
        <v>1</v>
      </c>
      <c r="H52" s="15" t="n">
        <v>39878</v>
      </c>
      <c r="I52" s="16" t="n">
        <v>42330.6</v>
      </c>
      <c r="K52" s="13"/>
      <c r="L52" s="13"/>
      <c r="N52" s="13"/>
      <c r="O52" s="13"/>
      <c r="P52" s="13"/>
    </row>
    <row r="53" customFormat="false" ht="14.25" hidden="false" customHeight="false" outlineLevel="0" collapsed="false">
      <c r="A53" s="13" t="s">
        <v>21</v>
      </c>
      <c r="B53" s="13" t="s">
        <v>36</v>
      </c>
      <c r="C53" s="1" t="str">
        <f aca="false">IFERROR(MID(B53,FIND("-",B53)+1,LEN(B53)),B53)</f>
        <v>8/6/2025</v>
      </c>
      <c r="E53" s="14" t="s">
        <v>106</v>
      </c>
      <c r="F53" s="1" t="n">
        <f aca="false">E53-C53</f>
        <v>50</v>
      </c>
      <c r="G53" s="13" t="n">
        <v>1</v>
      </c>
      <c r="H53" s="15" t="n">
        <v>39817.84</v>
      </c>
      <c r="I53" s="16" t="n">
        <v>42249.59</v>
      </c>
      <c r="K53" s="16" t="n">
        <v>1673.92</v>
      </c>
      <c r="L53" s="13"/>
      <c r="N53" s="13"/>
      <c r="O53" s="13"/>
      <c r="P53" s="13"/>
    </row>
    <row r="54" customFormat="false" ht="14.25" hidden="false" customHeight="false" outlineLevel="0" collapsed="false">
      <c r="A54" s="13" t="s">
        <v>21</v>
      </c>
      <c r="B54" s="13" t="s">
        <v>23</v>
      </c>
      <c r="C54" s="1" t="str">
        <f aca="false">IFERROR(MID(B54,FIND("-",B54)+1,LEN(B54)),B54)</f>
        <v>8/20/2025</v>
      </c>
      <c r="E54" s="14" t="s">
        <v>99</v>
      </c>
      <c r="F54" s="1" t="n">
        <f aca="false">E54-C54</f>
        <v>128</v>
      </c>
      <c r="G54" s="13" t="n">
        <v>1</v>
      </c>
      <c r="H54" s="15" t="n">
        <v>39817.84</v>
      </c>
      <c r="I54" s="16" t="n">
        <v>42249.59</v>
      </c>
      <c r="K54" s="16" t="n">
        <v>1673.92</v>
      </c>
      <c r="L54" s="13"/>
      <c r="N54" s="13"/>
      <c r="O54" s="13"/>
      <c r="P54" s="13"/>
    </row>
    <row r="55" customFormat="false" ht="14.25" hidden="false" customHeight="false" outlineLevel="0" collapsed="false">
      <c r="A55" s="13" t="s">
        <v>27</v>
      </c>
      <c r="B55" s="13" t="s">
        <v>107</v>
      </c>
      <c r="C55" s="1" t="str">
        <f aca="false">IFERROR(MID(B55,FIND("-",B55)+1,LEN(B55)),B55)</f>
        <v>8/13/2025</v>
      </c>
      <c r="E55" s="14" t="s">
        <v>108</v>
      </c>
      <c r="F55" s="1" t="n">
        <f aca="false">E55-C55</f>
        <v>38</v>
      </c>
      <c r="G55" s="13" t="n">
        <v>1</v>
      </c>
      <c r="H55" s="15" t="n">
        <v>39817.83</v>
      </c>
      <c r="I55" s="16" t="n">
        <v>42249.59</v>
      </c>
      <c r="K55" s="16" t="n">
        <v>1673.93</v>
      </c>
      <c r="L55" s="13"/>
      <c r="N55" s="13"/>
      <c r="O55" s="13"/>
      <c r="P55" s="13"/>
    </row>
    <row r="56" customFormat="false" ht="14.25" hidden="false" customHeight="false" outlineLevel="0" collapsed="false">
      <c r="A56" s="13" t="s">
        <v>12</v>
      </c>
      <c r="B56" s="13" t="s">
        <v>109</v>
      </c>
      <c r="C56" s="1" t="str">
        <f aca="false">IFERROR(MID(B56,FIND("-",B56)+1,LEN(B56)),B56)</f>
        <v>8/12/2025</v>
      </c>
      <c r="E56" s="14" t="s">
        <v>55</v>
      </c>
      <c r="F56" s="1" t="n">
        <f aca="false">E56-C56</f>
        <v>45</v>
      </c>
      <c r="G56" s="13" t="n">
        <v>1</v>
      </c>
      <c r="H56" s="15" t="n">
        <v>39797</v>
      </c>
      <c r="I56" s="16" t="n">
        <v>42330.6</v>
      </c>
      <c r="K56" s="13"/>
      <c r="L56" s="13"/>
      <c r="N56" s="13"/>
      <c r="O56" s="13"/>
      <c r="P56" s="13"/>
    </row>
    <row r="57" customFormat="false" ht="14.25" hidden="false" customHeight="false" outlineLevel="0" collapsed="false">
      <c r="A57" s="13" t="s">
        <v>24</v>
      </c>
      <c r="B57" s="13" t="s">
        <v>61</v>
      </c>
      <c r="C57" s="1" t="str">
        <f aca="false">IFERROR(MID(B57,FIND("-",B57)+1,LEN(B57)),B57)</f>
        <v>12/18/2025</v>
      </c>
      <c r="E57" s="14" t="s">
        <v>110</v>
      </c>
      <c r="F57" s="1" t="n">
        <f aca="false">E57-C57</f>
        <v>16</v>
      </c>
      <c r="G57" s="13" t="n">
        <v>1</v>
      </c>
      <c r="H57" s="15" t="n">
        <v>39325.88</v>
      </c>
      <c r="I57" s="16" t="n">
        <v>42330.6</v>
      </c>
      <c r="K57" s="13"/>
      <c r="L57" s="13"/>
      <c r="N57" s="13"/>
      <c r="O57" s="13"/>
      <c r="P57" s="13" t="s">
        <v>111</v>
      </c>
    </row>
    <row r="58" customFormat="false" ht="14.25" hidden="false" customHeight="false" outlineLevel="0" collapsed="false">
      <c r="A58" s="13" t="s">
        <v>24</v>
      </c>
      <c r="B58" s="13" t="s">
        <v>45</v>
      </c>
      <c r="C58" s="1" t="str">
        <f aca="false">IFERROR(MID(B58,FIND("-",B58)+1,LEN(B58)),B58)</f>
        <v>9/9/2025</v>
      </c>
      <c r="E58" s="14" t="s">
        <v>112</v>
      </c>
      <c r="F58" s="1" t="n">
        <f aca="false">E58-C58</f>
        <v>32</v>
      </c>
      <c r="G58" s="13" t="n">
        <v>1</v>
      </c>
      <c r="H58" s="15" t="n">
        <v>37917</v>
      </c>
      <c r="I58" s="16" t="n">
        <v>42330.6</v>
      </c>
      <c r="K58" s="13"/>
      <c r="L58" s="16" t="n">
        <v>1867.59</v>
      </c>
      <c r="N58" s="24"/>
      <c r="O58" s="24"/>
      <c r="P58" s="24" t="s">
        <v>113</v>
      </c>
    </row>
    <row r="59" customFormat="false" ht="14.25" hidden="false" customHeight="false" outlineLevel="0" collapsed="false">
      <c r="A59" s="18" t="s">
        <v>21</v>
      </c>
      <c r="B59" s="18" t="s">
        <v>114</v>
      </c>
      <c r="C59" s="1" t="str">
        <f aca="false">IFERROR(MID(B59,FIND("-",B59)+1,LEN(B59)),B59)</f>
        <v>5/31/2025</v>
      </c>
      <c r="E59" s="19" t="s">
        <v>100</v>
      </c>
      <c r="F59" s="1" t="n">
        <f aca="false">E59-C59</f>
        <v>115</v>
      </c>
      <c r="G59" s="18" t="n">
        <v>1</v>
      </c>
      <c r="H59" s="20" t="n">
        <v>36036.48</v>
      </c>
      <c r="I59" s="21" t="n">
        <v>39272.96</v>
      </c>
      <c r="K59" s="18"/>
      <c r="L59" s="18"/>
      <c r="N59" s="13"/>
      <c r="O59" s="13"/>
      <c r="P59" s="13"/>
    </row>
    <row r="60" customFormat="false" ht="14.25" hidden="false" customHeight="false" outlineLevel="0" collapsed="false">
      <c r="A60" s="13" t="s">
        <v>21</v>
      </c>
      <c r="B60" s="13" t="s">
        <v>115</v>
      </c>
      <c r="C60" s="1" t="str">
        <f aca="false">B60</f>
        <v>1/06/2026</v>
      </c>
      <c r="E60" s="14" t="n">
        <f aca="false">C60+30</f>
        <v>46058</v>
      </c>
      <c r="G60" s="13" t="n">
        <v>1</v>
      </c>
      <c r="H60" s="15" t="n">
        <v>35973.85</v>
      </c>
      <c r="I60" s="16" t="n">
        <v>42330.6</v>
      </c>
      <c r="K60" s="13"/>
      <c r="L60" s="16" t="n">
        <v>3925</v>
      </c>
      <c r="N60" s="13"/>
      <c r="O60" s="13"/>
      <c r="P60" s="13"/>
    </row>
    <row r="61" customFormat="false" ht="14.25" hidden="false" customHeight="false" outlineLevel="0" collapsed="false">
      <c r="A61" s="13" t="s">
        <v>24</v>
      </c>
      <c r="B61" s="13" t="s">
        <v>116</v>
      </c>
      <c r="C61" s="1" t="str">
        <f aca="false">IFERROR(MID(B61,FIND("-",B61)+1,LEN(B61)),B61)</f>
        <v>1/05/2026</v>
      </c>
      <c r="E61" s="14" t="s">
        <v>117</v>
      </c>
      <c r="F61" s="1" t="n">
        <f aca="false">E61-C61</f>
        <v>10</v>
      </c>
      <c r="G61" s="13" t="n">
        <v>1</v>
      </c>
      <c r="H61" s="15" t="n">
        <v>35398.84</v>
      </c>
      <c r="I61" s="16" t="n">
        <v>42330.6</v>
      </c>
      <c r="K61" s="13"/>
      <c r="L61" s="13"/>
      <c r="N61" s="13"/>
      <c r="O61" s="13"/>
      <c r="P61" s="13"/>
    </row>
    <row r="62" customFormat="false" ht="14.25" hidden="false" customHeight="false" outlineLevel="0" collapsed="false">
      <c r="A62" s="18" t="s">
        <v>118</v>
      </c>
      <c r="B62" s="18" t="s">
        <v>119</v>
      </c>
      <c r="C62" s="1" t="str">
        <f aca="false">IFERROR(MID(B62,FIND("-",B62)+1,LEN(B62)),B62)</f>
        <v>12/23/2025</v>
      </c>
      <c r="E62" s="19" t="s">
        <v>120</v>
      </c>
      <c r="F62" s="1" t="n">
        <f aca="false">E62-C62</f>
        <v>24</v>
      </c>
      <c r="G62" s="18" t="n">
        <v>1</v>
      </c>
      <c r="H62" s="20" t="n">
        <v>31807.83</v>
      </c>
      <c r="I62" s="21" t="n">
        <v>42330.6</v>
      </c>
      <c r="K62" s="18"/>
      <c r="L62" s="18"/>
      <c r="N62" s="13"/>
      <c r="O62" s="13"/>
      <c r="P62" s="13"/>
    </row>
    <row r="63" customFormat="false" ht="14.25" hidden="false" customHeight="false" outlineLevel="0" collapsed="false">
      <c r="A63" s="18" t="s">
        <v>118</v>
      </c>
      <c r="B63" s="18" t="s">
        <v>121</v>
      </c>
      <c r="C63" s="1" t="str">
        <f aca="false">IFERROR(MID(B63,FIND("-",B63)+1,LEN(B63)),B63)</f>
        <v>12/9/2025</v>
      </c>
      <c r="E63" s="19" t="s">
        <v>122</v>
      </c>
      <c r="F63" s="1" t="n">
        <f aca="false">E63-C63</f>
        <v>24</v>
      </c>
      <c r="G63" s="18" t="n">
        <v>1</v>
      </c>
      <c r="H63" s="20" t="n">
        <v>31807.83</v>
      </c>
      <c r="I63" s="21" t="n">
        <v>42330.6</v>
      </c>
      <c r="K63" s="18"/>
      <c r="L63" s="18"/>
      <c r="N63" s="13"/>
      <c r="O63" s="13"/>
      <c r="P63" s="13"/>
    </row>
    <row r="64" customFormat="false" ht="14.25" hidden="false" customHeight="false" outlineLevel="0" collapsed="false">
      <c r="A64" s="13" t="s">
        <v>15</v>
      </c>
      <c r="B64" s="13" t="s">
        <v>123</v>
      </c>
      <c r="C64" s="1" t="str">
        <f aca="false">IFERROR(MID(B64,FIND("-",B64)+1,LEN(B64)),B64)</f>
        <v>6/17/2025</v>
      </c>
      <c r="E64" s="14" t="s">
        <v>124</v>
      </c>
      <c r="F64" s="1" t="n">
        <f aca="false">E64-C64</f>
        <v>27</v>
      </c>
      <c r="G64" s="13" t="n">
        <v>1</v>
      </c>
      <c r="H64" s="15" t="n">
        <v>30775</v>
      </c>
      <c r="I64" s="16" t="n">
        <v>42249.59</v>
      </c>
      <c r="K64" s="13"/>
      <c r="L64" s="13"/>
      <c r="N64" s="13"/>
      <c r="O64" s="13"/>
      <c r="P64" s="13"/>
    </row>
    <row r="65" customFormat="false" ht="14.25" hidden="false" customHeight="false" outlineLevel="0" collapsed="false">
      <c r="A65" s="13" t="s">
        <v>15</v>
      </c>
      <c r="B65" s="13" t="s">
        <v>107</v>
      </c>
      <c r="C65" s="1" t="str">
        <f aca="false">IFERROR(MID(B65,FIND("-",B65)+1,LEN(B65)),B65)</f>
        <v>8/13/2025</v>
      </c>
      <c r="E65" s="14" t="s">
        <v>125</v>
      </c>
      <c r="F65" s="1" t="n">
        <f aca="false">E65-C65</f>
        <v>20</v>
      </c>
      <c r="G65" s="13" t="n">
        <v>1</v>
      </c>
      <c r="H65" s="15" t="n">
        <v>30186</v>
      </c>
      <c r="I65" s="16" t="n">
        <v>42249.59</v>
      </c>
      <c r="K65" s="13"/>
      <c r="L65" s="13"/>
      <c r="N65" s="13"/>
      <c r="O65" s="13"/>
      <c r="P65" s="13"/>
    </row>
    <row r="66" customFormat="false" ht="14.25" hidden="false" customHeight="false" outlineLevel="0" collapsed="false">
      <c r="A66" s="13" t="s">
        <v>126</v>
      </c>
      <c r="B66" s="13" t="s">
        <v>96</v>
      </c>
      <c r="C66" s="1" t="str">
        <f aca="false">IFERROR(MID(B66,FIND("-",B66)+1,LEN(B66)),B66)</f>
        <v>12/16/2025</v>
      </c>
      <c r="E66" s="14" t="s">
        <v>127</v>
      </c>
      <c r="F66" s="1" t="n">
        <f aca="false">E66-C66</f>
        <v>33</v>
      </c>
      <c r="G66" s="13" t="n">
        <v>1</v>
      </c>
      <c r="H66" s="15" t="n">
        <v>28997.78</v>
      </c>
      <c r="I66" s="16" t="n">
        <v>42315.25</v>
      </c>
      <c r="K66" s="13"/>
      <c r="L66" s="13"/>
      <c r="N66" s="13"/>
      <c r="O66" s="13"/>
      <c r="P66" s="13"/>
    </row>
    <row r="67" customFormat="false" ht="14.25" hidden="false" customHeight="false" outlineLevel="0" collapsed="false">
      <c r="A67" s="13" t="s">
        <v>18</v>
      </c>
      <c r="B67" s="13" t="s">
        <v>128</v>
      </c>
      <c r="C67" s="1" t="str">
        <f aca="false">IFERROR(MID(B67,FIND("-",B67)+1,LEN(B67)),B67)</f>
        <v>12/24/2025</v>
      </c>
      <c r="E67" s="14" t="s">
        <v>129</v>
      </c>
      <c r="F67" s="1" t="n">
        <f aca="false">E67-C67</f>
        <v>17</v>
      </c>
      <c r="G67" s="13" t="n">
        <v>1</v>
      </c>
      <c r="H67" s="15" t="n">
        <v>28997.56</v>
      </c>
      <c r="I67" s="16" t="n">
        <v>42330.6</v>
      </c>
      <c r="K67" s="13"/>
      <c r="L67" s="13"/>
      <c r="N67" s="13"/>
      <c r="O67" s="13"/>
      <c r="P67" s="13"/>
    </row>
    <row r="68" customFormat="false" ht="14.25" hidden="false" customHeight="false" outlineLevel="0" collapsed="false">
      <c r="A68" s="13" t="s">
        <v>18</v>
      </c>
      <c r="B68" s="13" t="s">
        <v>73</v>
      </c>
      <c r="C68" s="1" t="str">
        <f aca="false">IFERROR(MID(B68,FIND("-",B68)+1,LEN(B68)),B68)</f>
        <v>10/22/2025</v>
      </c>
      <c r="E68" s="14" t="s">
        <v>48</v>
      </c>
      <c r="F68" s="1" t="n">
        <f aca="false">E68-C68</f>
        <v>15</v>
      </c>
      <c r="G68" s="13" t="n">
        <v>1</v>
      </c>
      <c r="H68" s="15" t="n">
        <v>28997.56</v>
      </c>
      <c r="I68" s="16" t="n">
        <v>42330.6</v>
      </c>
      <c r="K68" s="13"/>
      <c r="L68" s="13"/>
      <c r="N68" s="13"/>
      <c r="O68" s="13"/>
      <c r="P68" s="13" t="s">
        <v>130</v>
      </c>
    </row>
    <row r="69" customFormat="false" ht="14.25" hidden="false" customHeight="false" outlineLevel="0" collapsed="false">
      <c r="A69" s="13" t="s">
        <v>18</v>
      </c>
      <c r="B69" s="13" t="s">
        <v>84</v>
      </c>
      <c r="C69" s="1" t="str">
        <f aca="false">IFERROR(MID(B69,FIND("-",B69)+1,LEN(B69)),B69)</f>
        <v>11/5/2025</v>
      </c>
      <c r="E69" s="14" t="s">
        <v>131</v>
      </c>
      <c r="F69" s="1" t="n">
        <f aca="false">E69-C69</f>
        <v>27</v>
      </c>
      <c r="G69" s="13" t="n">
        <v>1</v>
      </c>
      <c r="H69" s="15" t="n">
        <v>28997.56</v>
      </c>
      <c r="I69" s="16" t="n">
        <v>42075.03</v>
      </c>
      <c r="K69" s="13"/>
      <c r="L69" s="13"/>
      <c r="N69" s="26"/>
      <c r="O69" s="18"/>
      <c r="P69" s="26" t="s">
        <v>132</v>
      </c>
    </row>
    <row r="70" customFormat="false" ht="14.25" hidden="false" customHeight="false" outlineLevel="0" collapsed="false">
      <c r="A70" s="13" t="s">
        <v>18</v>
      </c>
      <c r="B70" s="13" t="s">
        <v>95</v>
      </c>
      <c r="C70" s="1" t="str">
        <f aca="false">IFERROR(MID(B70,FIND("-",B70)+1,LEN(B70)),B70)</f>
        <v>12/4/2025</v>
      </c>
      <c r="E70" s="14" t="s">
        <v>133</v>
      </c>
      <c r="F70" s="1" t="n">
        <f aca="false">E70-C70</f>
        <v>24</v>
      </c>
      <c r="G70" s="13" t="n">
        <v>1</v>
      </c>
      <c r="H70" s="15" t="n">
        <v>28997.56</v>
      </c>
      <c r="I70" s="16" t="n">
        <v>42330.6</v>
      </c>
      <c r="K70" s="13"/>
      <c r="L70" s="13"/>
      <c r="N70" s="13"/>
      <c r="O70" s="13"/>
      <c r="P70" s="13" t="s">
        <v>134</v>
      </c>
    </row>
    <row r="71" customFormat="false" ht="14.25" hidden="false" customHeight="false" outlineLevel="0" collapsed="false">
      <c r="A71" s="13" t="s">
        <v>18</v>
      </c>
      <c r="B71" s="13" t="s">
        <v>88</v>
      </c>
      <c r="C71" s="1" t="str">
        <f aca="false">IFERROR(MID(B71,FIND("-",B71)+1,LEN(B71)),B71)</f>
        <v>11/19/2025</v>
      </c>
      <c r="E71" s="14" t="s">
        <v>135</v>
      </c>
      <c r="F71" s="1" t="n">
        <f aca="false">E71-C71</f>
        <v>17</v>
      </c>
      <c r="G71" s="13" t="n">
        <v>1</v>
      </c>
      <c r="H71" s="15" t="n">
        <v>28997.56</v>
      </c>
      <c r="I71" s="16" t="n">
        <v>42330.6</v>
      </c>
      <c r="K71" s="13"/>
      <c r="L71" s="13"/>
      <c r="N71" s="13"/>
      <c r="O71" s="13"/>
      <c r="P71" s="13" t="s">
        <v>134</v>
      </c>
    </row>
    <row r="72" customFormat="false" ht="14.25" hidden="false" customHeight="false" outlineLevel="0" collapsed="false">
      <c r="A72" s="13" t="s">
        <v>126</v>
      </c>
      <c r="B72" s="13" t="s">
        <v>131</v>
      </c>
      <c r="C72" s="1" t="str">
        <f aca="false">IFERROR(MID(B72,FIND("-",B72)+1,LEN(B72)),B72)</f>
        <v>12/2/2025</v>
      </c>
      <c r="E72" s="14" t="s">
        <v>43</v>
      </c>
      <c r="F72" s="1" t="n">
        <f aca="false">E72-C72</f>
        <v>34</v>
      </c>
      <c r="G72" s="13" t="n">
        <v>1</v>
      </c>
      <c r="H72" s="15" t="n">
        <v>28997</v>
      </c>
      <c r="I72" s="16" t="n">
        <v>42276.67</v>
      </c>
      <c r="K72" s="13"/>
      <c r="L72" s="13"/>
      <c r="N72" s="13"/>
      <c r="O72" s="13"/>
      <c r="P72" s="13"/>
    </row>
    <row r="73" customFormat="false" ht="14.25" hidden="false" customHeight="false" outlineLevel="0" collapsed="false">
      <c r="A73" s="13" t="s">
        <v>126</v>
      </c>
      <c r="B73" s="13" t="s">
        <v>85</v>
      </c>
      <c r="C73" s="1" t="str">
        <f aca="false">IFERROR(MID(B73,FIND("-",B73)+1,LEN(B73)),B73)</f>
        <v>11/18/2025</v>
      </c>
      <c r="E73" s="14" t="s">
        <v>136</v>
      </c>
      <c r="F73" s="1" t="n">
        <f aca="false">E73-C73</f>
        <v>34</v>
      </c>
      <c r="G73" s="13" t="n">
        <v>1</v>
      </c>
      <c r="H73" s="15" t="n">
        <v>28997</v>
      </c>
      <c r="I73" s="16" t="n">
        <v>42283.39</v>
      </c>
      <c r="K73" s="13"/>
      <c r="L73" s="13"/>
      <c r="N73" s="13"/>
      <c r="O73" s="13"/>
      <c r="P73" s="13"/>
    </row>
    <row r="74" customFormat="false" ht="14.25" hidden="false" customHeight="false" outlineLevel="0" collapsed="false">
      <c r="A74" s="13" t="s">
        <v>126</v>
      </c>
      <c r="B74" s="13" t="s">
        <v>40</v>
      </c>
      <c r="C74" s="1" t="str">
        <f aca="false">IFERROR(MID(B74,FIND("-",B74)+1,LEN(B74)),B74)</f>
        <v>11/4/2025</v>
      </c>
      <c r="E74" s="14" t="s">
        <v>41</v>
      </c>
      <c r="F74" s="1" t="n">
        <f aca="false">E74-C74</f>
        <v>31</v>
      </c>
      <c r="G74" s="13" t="n">
        <v>1</v>
      </c>
      <c r="H74" s="15" t="n">
        <v>28997</v>
      </c>
      <c r="I74" s="16" t="n">
        <v>42283.39</v>
      </c>
      <c r="K74" s="13"/>
      <c r="L74" s="13"/>
      <c r="N74" s="13"/>
      <c r="O74" s="13"/>
      <c r="P74" s="13"/>
    </row>
    <row r="75" customFormat="false" ht="14.25" hidden="false" customHeight="false" outlineLevel="0" collapsed="false">
      <c r="A75" s="13" t="s">
        <v>18</v>
      </c>
      <c r="B75" s="13" t="s">
        <v>98</v>
      </c>
      <c r="C75" s="1" t="str">
        <f aca="false">IFERROR(MID(B75,FIND("-",B75)+1,LEN(B75)),B75)</f>
        <v>10/8/2025</v>
      </c>
      <c r="E75" s="14" t="s">
        <v>76</v>
      </c>
      <c r="F75" s="1" t="n">
        <f aca="false">E75-C75</f>
        <v>20</v>
      </c>
      <c r="G75" s="13" t="n">
        <v>1</v>
      </c>
      <c r="H75" s="15" t="n">
        <v>28825.34</v>
      </c>
      <c r="I75" s="16" t="n">
        <v>42330.6</v>
      </c>
      <c r="K75" s="13"/>
      <c r="L75" s="13"/>
      <c r="N75" s="18"/>
      <c r="O75" s="18"/>
      <c r="P75" s="18" t="s">
        <v>137</v>
      </c>
    </row>
    <row r="76" customFormat="false" ht="14.25" hidden="false" customHeight="false" outlineLevel="0" collapsed="false">
      <c r="A76" s="13" t="s">
        <v>18</v>
      </c>
      <c r="B76" s="13" t="s">
        <v>72</v>
      </c>
      <c r="C76" s="1" t="str">
        <f aca="false">IFERROR(MID(B76,FIND("-",B76)+1,LEN(B76)),B76)</f>
        <v>9/24/2025</v>
      </c>
      <c r="E76" s="14" t="s">
        <v>105</v>
      </c>
      <c r="F76" s="1" t="n">
        <f aca="false">E76-C76</f>
        <v>15</v>
      </c>
      <c r="G76" s="13" t="n">
        <v>1</v>
      </c>
      <c r="H76" s="15" t="n">
        <v>28825.34</v>
      </c>
      <c r="I76" s="16" t="n">
        <v>42330.6</v>
      </c>
      <c r="K76" s="13"/>
      <c r="L76" s="13"/>
      <c r="N76" s="13"/>
      <c r="O76" s="13"/>
      <c r="P76" s="13"/>
    </row>
    <row r="77" customFormat="false" ht="14.25" hidden="false" customHeight="false" outlineLevel="0" collapsed="false">
      <c r="A77" s="13" t="s">
        <v>18</v>
      </c>
      <c r="B77" s="13" t="s">
        <v>107</v>
      </c>
      <c r="C77" s="1" t="str">
        <f aca="false">IFERROR(MID(B77,FIND("-",B77)+1,LEN(B77)),B77)</f>
        <v>8/13/2025</v>
      </c>
      <c r="E77" s="14" t="s">
        <v>138</v>
      </c>
      <c r="F77" s="1" t="n">
        <f aca="false">E77-C77</f>
        <v>34</v>
      </c>
      <c r="G77" s="13" t="n">
        <v>1</v>
      </c>
      <c r="H77" s="15" t="n">
        <v>28825.34</v>
      </c>
      <c r="I77" s="16" t="n">
        <v>42249.59</v>
      </c>
      <c r="K77" s="13"/>
      <c r="L77" s="13"/>
      <c r="N77" s="13"/>
      <c r="O77" s="13"/>
      <c r="P77" s="13"/>
    </row>
    <row r="78" customFormat="false" ht="14.25" hidden="false" customHeight="false" outlineLevel="0" collapsed="false">
      <c r="A78" s="13" t="s">
        <v>18</v>
      </c>
      <c r="B78" s="13" t="s">
        <v>57</v>
      </c>
      <c r="C78" s="1" t="str">
        <f aca="false">IFERROR(MID(B78,FIND("-",B78)+1,LEN(B78)),B78)</f>
        <v>8/27/2025</v>
      </c>
      <c r="E78" s="14" t="s">
        <v>138</v>
      </c>
      <c r="F78" s="1" t="n">
        <f aca="false">E78-C78</f>
        <v>20</v>
      </c>
      <c r="G78" s="13" t="n">
        <v>1</v>
      </c>
      <c r="H78" s="15" t="n">
        <v>28825.34</v>
      </c>
      <c r="I78" s="16" t="n">
        <v>214524.77</v>
      </c>
      <c r="K78" s="13"/>
      <c r="L78" s="13"/>
      <c r="N78" s="13"/>
      <c r="O78" s="13"/>
      <c r="P78" s="13"/>
    </row>
    <row r="79" customFormat="false" ht="14.25" hidden="false" customHeight="false" outlineLevel="0" collapsed="false">
      <c r="A79" s="13" t="s">
        <v>18</v>
      </c>
      <c r="B79" s="13" t="s">
        <v>139</v>
      </c>
      <c r="C79" s="1" t="str">
        <f aca="false">IFERROR(MID(B79,FIND("-",B79)+1,LEN(B79)),B79)</f>
        <v>9/10/2025</v>
      </c>
      <c r="E79" s="14" t="s">
        <v>101</v>
      </c>
      <c r="F79" s="1" t="n">
        <f aca="false">E79-C79</f>
        <v>24</v>
      </c>
      <c r="G79" s="13" t="n">
        <v>1</v>
      </c>
      <c r="H79" s="15" t="n">
        <v>28825.09</v>
      </c>
      <c r="I79" s="16" t="n">
        <v>42258.57</v>
      </c>
      <c r="K79" s="13"/>
      <c r="L79" s="13"/>
      <c r="N79" s="13"/>
      <c r="O79" s="13"/>
      <c r="P79" s="13"/>
    </row>
    <row r="80" customFormat="false" ht="14.25" hidden="false" customHeight="false" outlineLevel="0" collapsed="false">
      <c r="A80" s="13" t="s">
        <v>126</v>
      </c>
      <c r="B80" s="13" t="s">
        <v>140</v>
      </c>
      <c r="C80" s="1" t="str">
        <f aca="false">IFERROR(MID(B80,FIND("-",B80)+1,LEN(B80)),B80)</f>
        <v>10/21/2025</v>
      </c>
      <c r="E80" s="14" t="s">
        <v>50</v>
      </c>
      <c r="F80" s="1" t="n">
        <f aca="false">E80-C80</f>
        <v>34</v>
      </c>
      <c r="G80" s="13" t="n">
        <v>1</v>
      </c>
      <c r="H80" s="15" t="n">
        <v>28683</v>
      </c>
      <c r="I80" s="16" t="n">
        <v>42283.39</v>
      </c>
      <c r="K80" s="13"/>
      <c r="L80" s="13"/>
      <c r="N80" s="13"/>
      <c r="O80" s="13"/>
      <c r="P80" s="13"/>
    </row>
    <row r="81" customFormat="false" ht="14.25" hidden="false" customHeight="false" outlineLevel="0" collapsed="false">
      <c r="A81" s="13" t="s">
        <v>18</v>
      </c>
      <c r="B81" s="13" t="s">
        <v>141</v>
      </c>
      <c r="C81" s="1" t="str">
        <f aca="false">IFERROR(MID(B81,FIND("-",B81)+1,LEN(B81)),B81)</f>
        <v>1/7/2026</v>
      </c>
      <c r="E81" s="14" t="s">
        <v>142</v>
      </c>
      <c r="F81" s="1" t="n">
        <f aca="false">E81-C81</f>
        <v>31</v>
      </c>
      <c r="G81" s="13" t="n">
        <v>1</v>
      </c>
      <c r="H81" s="15" t="n">
        <v>25969.36</v>
      </c>
      <c r="I81" s="16" t="n">
        <v>42330.6</v>
      </c>
      <c r="K81" s="13"/>
      <c r="L81" s="16" t="n">
        <v>3090</v>
      </c>
      <c r="N81" s="13"/>
      <c r="O81" s="13"/>
      <c r="P81" s="13"/>
    </row>
    <row r="82" customFormat="false" ht="14.25" hidden="false" customHeight="false" outlineLevel="0" collapsed="false">
      <c r="A82" s="18" t="s">
        <v>126</v>
      </c>
      <c r="B82" s="18" t="s">
        <v>143</v>
      </c>
      <c r="C82" s="1" t="str">
        <f aca="false">IFERROR(MID(B82,FIND("-",B82)+1,LEN(B82)),B82)</f>
        <v>10/7/2025</v>
      </c>
      <c r="E82" s="19" t="s">
        <v>144</v>
      </c>
      <c r="F82" s="1" t="n">
        <f aca="false">E82-C82</f>
        <v>34</v>
      </c>
      <c r="G82" s="18" t="n">
        <v>1</v>
      </c>
      <c r="H82" s="20" t="n">
        <v>23123</v>
      </c>
      <c r="I82" s="21" t="n">
        <v>42283.39</v>
      </c>
      <c r="K82" s="18"/>
      <c r="L82" s="18"/>
      <c r="N82" s="13"/>
      <c r="O82" s="13"/>
      <c r="P82" s="13"/>
    </row>
    <row r="83" customFormat="false" ht="14.25" hidden="false" customHeight="false" outlineLevel="0" collapsed="false">
      <c r="A83" s="13" t="s">
        <v>18</v>
      </c>
      <c r="B83" s="13" t="s">
        <v>145</v>
      </c>
      <c r="C83" s="1" t="str">
        <f aca="false">B83</f>
        <v>1/21/2026</v>
      </c>
      <c r="E83" s="14" t="n">
        <f aca="false">C83+30</f>
        <v>46073</v>
      </c>
      <c r="G83" s="13" t="n">
        <v>1</v>
      </c>
      <c r="H83" s="15" t="n">
        <v>22960.75</v>
      </c>
      <c r="I83" s="16" t="n">
        <v>44380.6</v>
      </c>
      <c r="K83" s="13"/>
      <c r="L83" s="16" t="n">
        <v>6160</v>
      </c>
      <c r="N83" s="13"/>
      <c r="O83" s="13"/>
      <c r="P83" s="13"/>
    </row>
    <row r="84" customFormat="false" ht="14.25" hidden="false" customHeight="false" outlineLevel="0" collapsed="false">
      <c r="A84" s="18" t="s">
        <v>18</v>
      </c>
      <c r="B84" s="18" t="s">
        <v>123</v>
      </c>
      <c r="C84" s="1" t="str">
        <f aca="false">IFERROR(MID(B84,FIND("-",B84)+1,LEN(B84)),B84)</f>
        <v>6/17/2025</v>
      </c>
      <c r="E84" s="19" t="s">
        <v>52</v>
      </c>
      <c r="G84" s="18" t="n">
        <v>1</v>
      </c>
      <c r="H84" s="20" t="n">
        <v>22361.67</v>
      </c>
      <c r="I84" s="21" t="n">
        <v>42324.47</v>
      </c>
      <c r="K84" s="18"/>
      <c r="L84" s="18"/>
      <c r="N84" s="13"/>
      <c r="O84" s="13"/>
      <c r="P84" s="13"/>
    </row>
    <row r="85" customFormat="false" ht="14.25" hidden="false" customHeight="false" outlineLevel="0" collapsed="false">
      <c r="A85" s="18" t="s">
        <v>35</v>
      </c>
      <c r="B85" s="18" t="s">
        <v>70</v>
      </c>
      <c r="C85" s="1" t="str">
        <f aca="false">IFERROR(MID(B85,FIND("-",B85)+1,LEN(B85)),B85)</f>
        <v>9/17/2025</v>
      </c>
      <c r="E85" s="19"/>
      <c r="G85" s="18" t="n">
        <v>1</v>
      </c>
      <c r="H85" s="20" t="n">
        <v>3200</v>
      </c>
      <c r="I85" s="21" t="n">
        <v>42276.67</v>
      </c>
      <c r="K85" s="18" t="n">
        <v>3200</v>
      </c>
      <c r="L85" s="21" t="n">
        <v>36113</v>
      </c>
      <c r="N85" s="13"/>
      <c r="O85" s="13"/>
      <c r="P85" s="13"/>
    </row>
    <row r="86" customFormat="false" ht="14.25" hidden="false" customHeight="false" outlineLevel="0" collapsed="false">
      <c r="A86" s="18" t="s">
        <v>35</v>
      </c>
      <c r="B86" s="18" t="s">
        <v>86</v>
      </c>
      <c r="C86" s="1" t="str">
        <f aca="false">IFERROR(MID(B86,FIND("-",B86)+1,LEN(B86)),B86)</f>
        <v>9/3/2025</v>
      </c>
      <c r="E86" s="19"/>
      <c r="G86" s="18" t="n">
        <v>1</v>
      </c>
      <c r="H86" s="20" t="n">
        <v>3200</v>
      </c>
      <c r="I86" s="21" t="n">
        <v>42276.67</v>
      </c>
      <c r="K86" s="18" t="n">
        <v>3200</v>
      </c>
      <c r="L86" s="21" t="n">
        <v>36113</v>
      </c>
      <c r="N86" s="13"/>
      <c r="O86" s="13"/>
      <c r="P86" s="13"/>
    </row>
    <row r="87" customFormat="false" ht="14.25" hidden="false" customHeight="false" outlineLevel="0" collapsed="false">
      <c r="A87" s="18" t="s">
        <v>12</v>
      </c>
      <c r="B87" s="18" t="s">
        <v>48</v>
      </c>
      <c r="C87" s="1" t="str">
        <f aca="false">IFERROR(MID(B87,FIND("-",B87)+1,LEN(B87)),B87)</f>
        <v>11/6/2025</v>
      </c>
      <c r="E87" s="19" t="s">
        <v>146</v>
      </c>
      <c r="G87" s="18" t="n">
        <v>1</v>
      </c>
      <c r="H87" s="20" t="n">
        <v>2311</v>
      </c>
      <c r="I87" s="21" t="n">
        <v>42330.6</v>
      </c>
      <c r="K87" s="18"/>
      <c r="L87" s="18"/>
      <c r="N87" s="13"/>
      <c r="O87" s="13"/>
      <c r="P87" s="13" t="s">
        <v>147</v>
      </c>
    </row>
    <row r="88" customFormat="false" ht="14.25" hidden="false" customHeight="false" outlineLevel="0" collapsed="false">
      <c r="A88" s="18" t="s">
        <v>15</v>
      </c>
      <c r="B88" s="18" t="s">
        <v>148</v>
      </c>
      <c r="C88" s="1" t="str">
        <f aca="false">IFERROR(MID(B88,FIND("-",B88)+1,LEN(B88)),B88)</f>
        <v>8/29/2025</v>
      </c>
      <c r="E88" s="19" t="s">
        <v>149</v>
      </c>
      <c r="G88" s="18" t="n">
        <v>1</v>
      </c>
      <c r="H88" s="20" t="n">
        <v>1725.25</v>
      </c>
      <c r="I88" s="21" t="n">
        <v>42249.59</v>
      </c>
      <c r="K88" s="18"/>
      <c r="L88" s="18"/>
      <c r="N88" s="13"/>
      <c r="O88" s="13"/>
      <c r="P88" s="13" t="s">
        <v>147</v>
      </c>
    </row>
    <row r="89" customFormat="false" ht="14.25" hidden="false" customHeight="false" outlineLevel="0" collapsed="false">
      <c r="A89" s="18" t="s">
        <v>15</v>
      </c>
      <c r="B89" s="18" t="s">
        <v>47</v>
      </c>
      <c r="C89" s="1" t="str">
        <f aca="false">IFERROR(MID(B89,FIND("-",B89)+1,LEN(B89)),B89)</f>
        <v>9/29/2025</v>
      </c>
      <c r="E89" s="19" t="s">
        <v>150</v>
      </c>
      <c r="G89" s="18" t="n">
        <v>1</v>
      </c>
      <c r="H89" s="20" t="n">
        <v>1574</v>
      </c>
      <c r="I89" s="21" t="n">
        <v>42249.59</v>
      </c>
      <c r="K89" s="18"/>
      <c r="L89" s="18"/>
      <c r="N89" s="13"/>
      <c r="O89" s="13"/>
      <c r="P89" s="13"/>
    </row>
    <row r="90" customFormat="false" ht="14.25" hidden="false" customHeight="false" outlineLevel="0" collapsed="false">
      <c r="A90" s="18" t="s">
        <v>15</v>
      </c>
      <c r="B90" s="18" t="s">
        <v>151</v>
      </c>
      <c r="C90" s="1" t="str">
        <f aca="false">IFERROR(MID(B90,FIND("-",B90)+1,LEN(B90)),B90)</f>
        <v>9/15/2025</v>
      </c>
      <c r="E90" s="19" t="s">
        <v>152</v>
      </c>
      <c r="G90" s="18" t="n">
        <v>1</v>
      </c>
      <c r="H90" s="20" t="n">
        <v>1574</v>
      </c>
      <c r="I90" s="21" t="n">
        <v>42249.59</v>
      </c>
      <c r="K90" s="18"/>
      <c r="L90" s="18"/>
      <c r="N90" s="13"/>
      <c r="O90" s="13"/>
      <c r="P90" s="13"/>
    </row>
    <row r="91" customFormat="false" ht="14.25" hidden="false" customHeight="false" outlineLevel="0" collapsed="false">
      <c r="A91" s="18" t="s">
        <v>15</v>
      </c>
      <c r="B91" s="18" t="s">
        <v>46</v>
      </c>
      <c r="C91" s="1" t="str">
        <f aca="false">IFERROR(MID(B91,FIND("-",B91)+1,LEN(B91)),B91)</f>
        <v>10/27/2025</v>
      </c>
      <c r="E91" s="19" t="s">
        <v>102</v>
      </c>
      <c r="G91" s="18" t="n">
        <v>1</v>
      </c>
      <c r="H91" s="20" t="n">
        <v>1574</v>
      </c>
      <c r="I91" s="21" t="n">
        <v>42249.59</v>
      </c>
      <c r="K91" s="18"/>
      <c r="L91" s="18"/>
      <c r="N91" s="18"/>
      <c r="O91" s="18"/>
      <c r="P91" s="18" t="s">
        <v>153</v>
      </c>
    </row>
    <row r="92" customFormat="false" ht="14.25" hidden="false" customHeight="false" outlineLevel="0" collapsed="false">
      <c r="A92" s="18" t="s">
        <v>15</v>
      </c>
      <c r="B92" s="18" t="s">
        <v>154</v>
      </c>
      <c r="C92" s="1" t="str">
        <f aca="false">IFERROR(MID(B92,FIND("-",B92)+1,LEN(B92)),B92)</f>
        <v>10/13/2025</v>
      </c>
      <c r="E92" s="19" t="s">
        <v>105</v>
      </c>
      <c r="G92" s="18" t="n">
        <v>1</v>
      </c>
      <c r="H92" s="20" t="n">
        <v>1574</v>
      </c>
      <c r="I92" s="21" t="n">
        <v>42249.59</v>
      </c>
      <c r="K92" s="18"/>
      <c r="L92" s="18"/>
      <c r="N92" s="18"/>
      <c r="O92" s="18"/>
      <c r="P92" s="18" t="s">
        <v>153</v>
      </c>
    </row>
    <row r="93" customFormat="false" ht="14.25" hidden="true" customHeight="false" outlineLevel="0" collapsed="false">
      <c r="A93" s="1" t="s">
        <v>155</v>
      </c>
      <c r="B93" s="2" t="n">
        <v>45875</v>
      </c>
      <c r="C93" s="2" t="n">
        <f aca="false">B93</f>
        <v>45875</v>
      </c>
      <c r="E93" s="2" t="s">
        <v>156</v>
      </c>
      <c r="F93" s="5"/>
      <c r="G93" s="4" t="n">
        <v>1</v>
      </c>
      <c r="H93" s="1" t="n">
        <v>0</v>
      </c>
      <c r="I93" s="1"/>
      <c r="J93" s="28"/>
      <c r="K93" s="1" t="s">
        <v>157</v>
      </c>
      <c r="L93" s="29" t="n">
        <f aca="false">L92+H93</f>
        <v>0</v>
      </c>
      <c r="N93" s="13"/>
      <c r="O93" s="13"/>
      <c r="P93" s="13" t="s">
        <v>158</v>
      </c>
    </row>
    <row r="94" customFormat="false" ht="14.25" hidden="true" customHeight="false" outlineLevel="0" collapsed="false">
      <c r="A94" s="1" t="s">
        <v>155</v>
      </c>
      <c r="B94" s="2" t="n">
        <v>45889</v>
      </c>
      <c r="C94" s="2" t="n">
        <f aca="false">B94</f>
        <v>45889</v>
      </c>
      <c r="E94" s="2" t="s">
        <v>156</v>
      </c>
      <c r="F94" s="5"/>
      <c r="G94" s="4" t="n">
        <v>1</v>
      </c>
      <c r="H94" s="1" t="n">
        <v>0</v>
      </c>
      <c r="I94" s="1"/>
      <c r="J94" s="28"/>
      <c r="K94" s="28" t="s">
        <v>159</v>
      </c>
      <c r="L94" s="29" t="n">
        <f aca="false">L93+H94</f>
        <v>0</v>
      </c>
      <c r="N94" s="13"/>
      <c r="O94" s="13"/>
      <c r="P94" s="13" t="s">
        <v>158</v>
      </c>
    </row>
    <row r="95" customFormat="false" ht="14.25" hidden="true" customHeight="false" outlineLevel="0" collapsed="false">
      <c r="A95" s="1" t="s">
        <v>155</v>
      </c>
      <c r="B95" s="2" t="n">
        <v>45903</v>
      </c>
      <c r="C95" s="2" t="n">
        <f aca="false">B95</f>
        <v>45903</v>
      </c>
      <c r="E95" s="2" t="s">
        <v>156</v>
      </c>
      <c r="F95" s="5"/>
      <c r="G95" s="4" t="n">
        <v>1</v>
      </c>
      <c r="H95" s="1" t="n">
        <v>0</v>
      </c>
      <c r="I95" s="1"/>
      <c r="J95" s="28"/>
      <c r="K95" s="28" t="s">
        <v>159</v>
      </c>
      <c r="L95" s="29" t="n">
        <f aca="false">L94+H95</f>
        <v>0</v>
      </c>
      <c r="N95" s="13"/>
      <c r="O95" s="13"/>
      <c r="P95" s="13"/>
    </row>
    <row r="96" customFormat="false" ht="14.25" hidden="true" customHeight="false" outlineLevel="0" collapsed="false">
      <c r="A96" s="1" t="s">
        <v>155</v>
      </c>
      <c r="B96" s="2" t="n">
        <v>45917</v>
      </c>
      <c r="C96" s="2" t="n">
        <f aca="false">B96</f>
        <v>45917</v>
      </c>
      <c r="E96" s="2" t="s">
        <v>156</v>
      </c>
      <c r="F96" s="5"/>
      <c r="G96" s="4" t="n">
        <v>1</v>
      </c>
      <c r="H96" s="1" t="n">
        <v>0</v>
      </c>
      <c r="I96" s="1"/>
      <c r="J96" s="28"/>
      <c r="K96" s="28" t="s">
        <v>159</v>
      </c>
      <c r="L96" s="29" t="n">
        <f aca="false">L95+H96</f>
        <v>0</v>
      </c>
      <c r="N96" s="13"/>
      <c r="O96" s="13"/>
      <c r="P96" s="13"/>
    </row>
    <row r="97" customFormat="false" ht="14.25" hidden="true" customHeight="false" outlineLevel="0" collapsed="false">
      <c r="A97" s="1" t="s">
        <v>155</v>
      </c>
      <c r="B97" s="2" t="n">
        <v>45931</v>
      </c>
      <c r="C97" s="2" t="n">
        <f aca="false">B97</f>
        <v>45931</v>
      </c>
      <c r="E97" s="2" t="s">
        <v>156</v>
      </c>
      <c r="F97" s="5"/>
      <c r="G97" s="4" t="n">
        <v>1</v>
      </c>
      <c r="H97" s="1" t="n">
        <v>0</v>
      </c>
      <c r="I97" s="1"/>
      <c r="J97" s="28"/>
      <c r="K97" s="28" t="s">
        <v>159</v>
      </c>
      <c r="L97" s="29" t="n">
        <f aca="false">L96+H97</f>
        <v>0</v>
      </c>
      <c r="N97" s="13"/>
      <c r="O97" s="13"/>
      <c r="P97" s="13"/>
    </row>
    <row r="98" customFormat="false" ht="14.25" hidden="true" customHeight="false" outlineLevel="0" collapsed="false">
      <c r="A98" s="1" t="s">
        <v>155</v>
      </c>
      <c r="B98" s="2" t="n">
        <v>45945</v>
      </c>
      <c r="C98" s="2" t="n">
        <f aca="false">B98</f>
        <v>45945</v>
      </c>
      <c r="E98" s="2" t="s">
        <v>156</v>
      </c>
      <c r="F98" s="5"/>
      <c r="G98" s="4" t="n">
        <v>1</v>
      </c>
      <c r="H98" s="1" t="n">
        <v>0</v>
      </c>
      <c r="I98" s="1"/>
      <c r="J98" s="28"/>
      <c r="K98" s="28" t="s">
        <v>159</v>
      </c>
      <c r="L98" s="29" t="n">
        <f aca="false">L97+H98</f>
        <v>0</v>
      </c>
      <c r="N98" s="13"/>
      <c r="O98" s="13"/>
      <c r="P98" s="13"/>
    </row>
    <row r="99" customFormat="false" ht="14.25" hidden="true" customHeight="false" outlineLevel="0" collapsed="false">
      <c r="A99" s="1" t="s">
        <v>155</v>
      </c>
      <c r="B99" s="2" t="n">
        <v>45959</v>
      </c>
      <c r="C99" s="2" t="n">
        <f aca="false">B99</f>
        <v>45959</v>
      </c>
      <c r="E99" s="2" t="s">
        <v>156</v>
      </c>
      <c r="F99" s="5"/>
      <c r="G99" s="4" t="n">
        <v>1</v>
      </c>
      <c r="H99" s="1" t="n">
        <v>0</v>
      </c>
      <c r="I99" s="1"/>
      <c r="J99" s="28"/>
      <c r="K99" s="28" t="s">
        <v>159</v>
      </c>
      <c r="L99" s="29" t="n">
        <f aca="false">L98+H99</f>
        <v>0</v>
      </c>
      <c r="N99" s="13"/>
      <c r="O99" s="13"/>
      <c r="P99" s="13"/>
    </row>
    <row r="100" customFormat="false" ht="14.25" hidden="true" customHeight="false" outlineLevel="0" collapsed="false">
      <c r="A100" s="1" t="s">
        <v>155</v>
      </c>
      <c r="B100" s="2" t="n">
        <v>45973</v>
      </c>
      <c r="C100" s="2" t="n">
        <f aca="false">B100</f>
        <v>45973</v>
      </c>
      <c r="E100" s="2" t="s">
        <v>156</v>
      </c>
      <c r="F100" s="5"/>
      <c r="G100" s="4" t="n">
        <v>1</v>
      </c>
      <c r="H100" s="1" t="n">
        <v>0</v>
      </c>
      <c r="I100" s="1"/>
      <c r="J100" s="28"/>
      <c r="K100" s="28" t="s">
        <v>159</v>
      </c>
      <c r="L100" s="29" t="n">
        <f aca="false">L99+H100</f>
        <v>0</v>
      </c>
      <c r="N100" s="13"/>
      <c r="O100" s="13"/>
      <c r="P100" s="13"/>
    </row>
    <row r="101" customFormat="false" ht="14.25" hidden="true" customHeight="false" outlineLevel="0" collapsed="false">
      <c r="A101" s="1" t="s">
        <v>155</v>
      </c>
      <c r="B101" s="2" t="n">
        <v>45987</v>
      </c>
      <c r="C101" s="2" t="n">
        <f aca="false">B101</f>
        <v>45987</v>
      </c>
      <c r="E101" s="2" t="s">
        <v>156</v>
      </c>
      <c r="F101" s="5"/>
      <c r="G101" s="4" t="n">
        <v>1</v>
      </c>
      <c r="H101" s="1" t="n">
        <v>0</v>
      </c>
      <c r="I101" s="1"/>
      <c r="J101" s="28"/>
      <c r="K101" s="28" t="s">
        <v>159</v>
      </c>
      <c r="L101" s="29" t="n">
        <f aca="false">L100+H101</f>
        <v>0</v>
      </c>
      <c r="N101" s="13"/>
      <c r="O101" s="13"/>
      <c r="P101" s="13"/>
    </row>
    <row r="102" customFormat="false" ht="14.25" hidden="true" customHeight="false" outlineLevel="0" collapsed="false">
      <c r="A102" s="7" t="s">
        <v>155</v>
      </c>
      <c r="B102" s="8" t="n">
        <v>46001</v>
      </c>
      <c r="C102" s="8" t="n">
        <f aca="false">B102</f>
        <v>46001</v>
      </c>
      <c r="D102" s="7"/>
      <c r="E102" s="2" t="s">
        <v>156</v>
      </c>
      <c r="F102" s="10"/>
      <c r="G102" s="11" t="n">
        <v>1</v>
      </c>
      <c r="H102" s="1" t="n">
        <v>0</v>
      </c>
      <c r="I102" s="7"/>
      <c r="J102" s="30"/>
      <c r="K102" s="28" t="s">
        <v>159</v>
      </c>
      <c r="L102" s="29" t="n">
        <f aca="false">L101+H102</f>
        <v>0</v>
      </c>
      <c r="N102" s="13"/>
      <c r="O102" s="13"/>
      <c r="P102" s="13"/>
    </row>
    <row r="103" customFormat="false" ht="14.25" hidden="true" customHeight="false" outlineLevel="0" collapsed="false">
      <c r="A103" s="1" t="s">
        <v>155</v>
      </c>
      <c r="B103" s="2" t="n">
        <v>46017</v>
      </c>
      <c r="C103" s="2" t="n">
        <f aca="false">B103</f>
        <v>46017</v>
      </c>
      <c r="E103" s="2" t="s">
        <v>156</v>
      </c>
      <c r="F103" s="5"/>
      <c r="G103" s="4" t="n">
        <v>1</v>
      </c>
      <c r="H103" s="1" t="n">
        <v>0</v>
      </c>
      <c r="I103" s="1"/>
      <c r="J103" s="28"/>
      <c r="K103" s="28" t="s">
        <v>159</v>
      </c>
      <c r="L103" s="29" t="n">
        <f aca="false">L102+H103</f>
        <v>0</v>
      </c>
      <c r="N103" s="18"/>
      <c r="O103" s="18"/>
      <c r="P103" s="18" t="s">
        <v>160</v>
      </c>
    </row>
    <row r="104" customFormat="false" ht="14.25" hidden="true" customHeight="false" outlineLevel="0" collapsed="false">
      <c r="A104" s="1" t="s">
        <v>161</v>
      </c>
      <c r="B104" s="2" t="n">
        <v>46010</v>
      </c>
      <c r="C104" s="2" t="n">
        <f aca="false">B104</f>
        <v>46010</v>
      </c>
      <c r="E104" s="2" t="s">
        <v>162</v>
      </c>
      <c r="F104" s="5"/>
      <c r="G104" s="4" t="n">
        <v>1</v>
      </c>
      <c r="H104" s="1" t="n">
        <v>0</v>
      </c>
      <c r="I104" s="1" t="s">
        <v>163</v>
      </c>
      <c r="J104" s="28"/>
      <c r="K104" s="28" t="s">
        <v>164</v>
      </c>
      <c r="L104" s="29" t="e">
        <f aca="false">#REF!+H104</f>
        <v>#REF!</v>
      </c>
      <c r="N104" s="13"/>
      <c r="O104" s="13"/>
      <c r="P104" s="13"/>
    </row>
    <row r="105" customFormat="false" ht="14.25" hidden="true" customHeight="false" outlineLevel="0" collapsed="false">
      <c r="A105" s="1" t="s">
        <v>165</v>
      </c>
      <c r="B105" s="2" t="n">
        <v>46021</v>
      </c>
      <c r="C105" s="2" t="n">
        <f aca="false">B105</f>
        <v>46021</v>
      </c>
      <c r="E105" s="2" t="s">
        <v>162</v>
      </c>
      <c r="F105" s="5"/>
      <c r="G105" s="4" t="n">
        <v>1</v>
      </c>
      <c r="H105" s="1" t="n">
        <v>0</v>
      </c>
      <c r="I105" s="1"/>
      <c r="J105" s="28"/>
      <c r="K105" s="28" t="s">
        <v>164</v>
      </c>
      <c r="L105" s="29" t="e">
        <f aca="false">#REF!+H105</f>
        <v>#REF!</v>
      </c>
      <c r="N105" s="13"/>
      <c r="O105" s="13"/>
      <c r="P105" s="13"/>
    </row>
    <row r="106" customFormat="false" ht="14.25" hidden="false" customHeight="false" outlineLevel="0" collapsed="false">
      <c r="A106" s="13" t="s">
        <v>118</v>
      </c>
      <c r="B106" s="13" t="s">
        <v>166</v>
      </c>
      <c r="C106" s="1" t="str">
        <f aca="false">IFERROR(MID(B106,FIND("-",B106)+1,LEN(B106)),B106)</f>
        <v>01/06/2026</v>
      </c>
      <c r="E106" s="14"/>
      <c r="G106" s="13" t="n">
        <v>1</v>
      </c>
      <c r="H106" s="15" t="n">
        <v>0</v>
      </c>
      <c r="I106" s="16" t="n">
        <v>42330.6</v>
      </c>
      <c r="K106" s="13"/>
      <c r="L106" s="13"/>
      <c r="N106" s="13"/>
      <c r="O106" s="13"/>
      <c r="P106" s="13" t="s">
        <v>167</v>
      </c>
    </row>
    <row r="107" customFormat="false" ht="14.25" hidden="false" customHeight="false" outlineLevel="0" collapsed="false">
      <c r="A107" s="13" t="s">
        <v>118</v>
      </c>
      <c r="B107" s="13" t="s">
        <v>168</v>
      </c>
      <c r="C107" s="1" t="str">
        <f aca="false">IFERROR(MID(B107,FIND("-",B107)+1,LEN(B107)),B107)</f>
        <v>01/20/2026</v>
      </c>
      <c r="E107" s="14"/>
      <c r="G107" s="13" t="n">
        <v>1</v>
      </c>
      <c r="H107" s="15" t="n">
        <v>0</v>
      </c>
      <c r="I107" s="16" t="n">
        <v>42330.6</v>
      </c>
      <c r="K107" s="13"/>
      <c r="L107" s="13"/>
      <c r="N107" s="13"/>
      <c r="O107" s="13"/>
      <c r="P107" s="13" t="s">
        <v>167</v>
      </c>
    </row>
    <row r="108" customFormat="false" ht="14.25" hidden="false" customHeight="false" outlineLevel="0" collapsed="false">
      <c r="A108" s="31" t="s">
        <v>169</v>
      </c>
      <c r="B108" s="31" t="s">
        <v>170</v>
      </c>
      <c r="C108" s="1" t="str">
        <f aca="false">IFERROR(MID(B108,FIND("-",B108)+1,LEN(B108)),B108)</f>
        <v>02/10/2026</v>
      </c>
      <c r="E108" s="32"/>
      <c r="G108" s="31" t="n">
        <v>1</v>
      </c>
      <c r="H108" s="15" t="n">
        <v>0</v>
      </c>
      <c r="I108" s="31"/>
      <c r="K108" s="31"/>
      <c r="L108" s="31"/>
      <c r="N108" s="13"/>
      <c r="O108" s="13"/>
      <c r="P108" s="13"/>
    </row>
    <row r="109" customFormat="false" ht="14.25" hidden="false" customHeight="false" outlineLevel="0" collapsed="false">
      <c r="A109" s="31" t="s">
        <v>171</v>
      </c>
      <c r="B109" s="31" t="s">
        <v>172</v>
      </c>
      <c r="C109" s="1" t="str">
        <f aca="false">IFERROR(MID(B109,FIND("-",B109)+1,LEN(B109)),B109)</f>
        <v>02/11/2026</v>
      </c>
      <c r="E109" s="32"/>
      <c r="G109" s="31" t="n">
        <v>1</v>
      </c>
      <c r="H109" s="15" t="n">
        <v>0</v>
      </c>
      <c r="I109" s="31"/>
      <c r="K109" s="31"/>
      <c r="L109" s="31"/>
      <c r="N109" s="13"/>
      <c r="O109" s="13"/>
      <c r="P109" s="13"/>
    </row>
    <row r="110" customFormat="false" ht="14.25" hidden="false" customHeight="false" outlineLevel="0" collapsed="false">
      <c r="A110" s="31" t="s">
        <v>173</v>
      </c>
      <c r="B110" s="31" t="s">
        <v>174</v>
      </c>
      <c r="C110" s="1" t="str">
        <f aca="false">IFERROR(MID(B110,FIND("-",B110)+1,LEN(B110)),B110)</f>
        <v>02/13/2026</v>
      </c>
      <c r="E110" s="32"/>
      <c r="G110" s="31" t="n">
        <v>1</v>
      </c>
      <c r="H110" s="15" t="n">
        <v>0</v>
      </c>
      <c r="I110" s="31"/>
      <c r="K110" s="31"/>
      <c r="L110" s="31"/>
      <c r="N110" s="13"/>
      <c r="O110" s="13"/>
      <c r="P110" s="13"/>
    </row>
    <row r="111" customFormat="false" ht="14.25" hidden="false" customHeight="false" outlineLevel="0" collapsed="false">
      <c r="A111" s="31" t="s">
        <v>24</v>
      </c>
      <c r="B111" s="31" t="s">
        <v>175</v>
      </c>
      <c r="C111" s="1" t="str">
        <f aca="false">IFERROR(MID(B111,FIND("-",B111)+1,LEN(B111)),B111)</f>
        <v>02/16/2026</v>
      </c>
      <c r="E111" s="32"/>
      <c r="G111" s="31" t="n">
        <v>1</v>
      </c>
      <c r="H111" s="15" t="n">
        <v>0</v>
      </c>
      <c r="I111" s="31"/>
      <c r="K111" s="31"/>
      <c r="L111" s="31"/>
      <c r="N111" s="13"/>
      <c r="O111" s="13"/>
      <c r="P111" s="13"/>
    </row>
    <row r="112" customFormat="false" ht="14.25" hidden="false" customHeight="false" outlineLevel="0" collapsed="false">
      <c r="A112" s="31" t="s">
        <v>176</v>
      </c>
      <c r="B112" s="31" t="s">
        <v>177</v>
      </c>
      <c r="C112" s="1" t="str">
        <f aca="false">IFERROR(MID(B112,FIND("-",B112)+1,LEN(B112)),B112)</f>
        <v>02/17/2026</v>
      </c>
      <c r="E112" s="32"/>
      <c r="G112" s="31" t="n">
        <v>1</v>
      </c>
      <c r="H112" s="15" t="n">
        <v>0</v>
      </c>
      <c r="I112" s="31"/>
      <c r="K112" s="31"/>
      <c r="L112" s="31"/>
      <c r="N112" s="13"/>
      <c r="O112" s="13"/>
      <c r="P112" s="13"/>
    </row>
    <row r="113" customFormat="false" ht="14.25" hidden="false" customHeight="false" outlineLevel="0" collapsed="false">
      <c r="A113" s="31" t="s">
        <v>165</v>
      </c>
      <c r="B113" s="31" t="s">
        <v>177</v>
      </c>
      <c r="C113" s="1" t="str">
        <f aca="false">IFERROR(MID(B113,FIND("-",B113)+1,LEN(B113)),B113)</f>
        <v>02/17/2026</v>
      </c>
      <c r="E113" s="32"/>
      <c r="G113" s="31" t="n">
        <v>1</v>
      </c>
      <c r="H113" s="15" t="n">
        <v>0</v>
      </c>
      <c r="I113" s="31"/>
      <c r="K113" s="31"/>
      <c r="L113" s="31"/>
      <c r="N113" s="13"/>
      <c r="O113" s="13"/>
      <c r="P113" s="13"/>
    </row>
    <row r="114" customFormat="false" ht="14.25" hidden="false" customHeight="false" outlineLevel="0" collapsed="false">
      <c r="A114" s="31" t="s">
        <v>178</v>
      </c>
      <c r="B114" s="31" t="s">
        <v>177</v>
      </c>
      <c r="C114" s="1" t="str">
        <f aca="false">IFERROR(MID(B114,FIND("-",B114)+1,LEN(B114)),B114)</f>
        <v>02/17/2026</v>
      </c>
      <c r="E114" s="32"/>
      <c r="G114" s="31" t="n">
        <v>1</v>
      </c>
      <c r="H114" s="15" t="n">
        <v>0</v>
      </c>
      <c r="I114" s="31"/>
      <c r="K114" s="31"/>
      <c r="L114" s="31"/>
      <c r="N114" s="13"/>
      <c r="O114" s="13"/>
      <c r="P114" s="13"/>
    </row>
    <row r="115" customFormat="false" ht="14.25" hidden="false" customHeight="false" outlineLevel="0" collapsed="false">
      <c r="A115" s="18" t="s">
        <v>35</v>
      </c>
      <c r="B115" s="18" t="s">
        <v>179</v>
      </c>
      <c r="C115" s="1" t="str">
        <f aca="false">IFERROR(MID(B115,FIND("-",B115)+1,LEN(B115)),B115)</f>
        <v>1/14/2026</v>
      </c>
      <c r="E115" s="19"/>
      <c r="G115" s="18" t="n">
        <v>1</v>
      </c>
      <c r="H115" s="20" t="n">
        <v>0</v>
      </c>
      <c r="I115" s="21" t="n">
        <v>42276.67</v>
      </c>
      <c r="K115" s="18"/>
      <c r="L115" s="18"/>
      <c r="N115" s="13"/>
      <c r="O115" s="13"/>
      <c r="P115" s="13"/>
    </row>
    <row r="116" customFormat="false" ht="14.25" hidden="false" customHeight="false" outlineLevel="0" collapsed="false">
      <c r="A116" s="13" t="s">
        <v>126</v>
      </c>
      <c r="B116" s="13" t="s">
        <v>44</v>
      </c>
      <c r="C116" s="1" t="str">
        <f aca="false">IFERROR(MID(B116,FIND("-",B116)+1,LEN(B116)),B116)</f>
        <v>1/20/2026</v>
      </c>
      <c r="E116" s="14"/>
      <c r="G116" s="13" t="n">
        <v>1</v>
      </c>
      <c r="H116" s="15" t="n">
        <v>0</v>
      </c>
      <c r="I116" s="16" t="n">
        <v>42276.67</v>
      </c>
      <c r="K116" s="13"/>
      <c r="L116" s="13"/>
      <c r="N116" s="13"/>
      <c r="O116" s="13"/>
      <c r="P116" s="13"/>
    </row>
    <row r="117" customFormat="false" ht="14.25" hidden="false" customHeight="false" outlineLevel="0" collapsed="false">
      <c r="A117" s="13" t="s">
        <v>12</v>
      </c>
      <c r="B117" s="13" t="s">
        <v>180</v>
      </c>
      <c r="C117" s="1" t="str">
        <f aca="false">IFERROR(MID(B117,FIND("-",B117)+1,LEN(B117)),B117)</f>
        <v>1/23/2026</v>
      </c>
      <c r="E117" s="14"/>
      <c r="G117" s="13" t="n">
        <v>1</v>
      </c>
      <c r="H117" s="15" t="n">
        <v>0</v>
      </c>
      <c r="I117" s="16" t="n">
        <v>42330.6</v>
      </c>
      <c r="K117" s="13"/>
      <c r="L117" s="13"/>
      <c r="N117" s="18"/>
      <c r="O117" s="18"/>
      <c r="P117" s="18" t="s">
        <v>181</v>
      </c>
    </row>
    <row r="118" customFormat="false" ht="14.25" hidden="false" customHeight="false" outlineLevel="0" collapsed="false">
      <c r="A118" s="18" t="s">
        <v>35</v>
      </c>
      <c r="B118" s="18" t="s">
        <v>182</v>
      </c>
      <c r="C118" s="1" t="str">
        <f aca="false">IFERROR(MID(B118,FIND("-",B118)+1,LEN(B118)),B118)</f>
        <v>1/28/2026</v>
      </c>
      <c r="E118" s="19"/>
      <c r="G118" s="18" t="n">
        <v>1</v>
      </c>
      <c r="H118" s="20" t="n">
        <v>0</v>
      </c>
      <c r="I118" s="21" t="n">
        <v>42276.67</v>
      </c>
      <c r="K118" s="18"/>
      <c r="L118" s="18"/>
      <c r="N118" s="13"/>
      <c r="O118" s="13"/>
      <c r="P118" s="13"/>
    </row>
    <row r="119" customFormat="false" ht="14.25" hidden="false" customHeight="false" outlineLevel="0" collapsed="false">
      <c r="A119" s="13" t="s">
        <v>126</v>
      </c>
      <c r="B119" s="13" t="s">
        <v>62</v>
      </c>
      <c r="C119" s="1" t="str">
        <f aca="false">IFERROR(MID(B119,FIND("-",B119)+1,LEN(B119)),B119)</f>
        <v>1/6/2026</v>
      </c>
      <c r="E119" s="14"/>
      <c r="G119" s="13" t="n">
        <v>1</v>
      </c>
      <c r="H119" s="15" t="n">
        <v>0</v>
      </c>
      <c r="I119" s="16" t="n">
        <v>42339.26</v>
      </c>
      <c r="K119" s="13"/>
      <c r="L119" s="13"/>
      <c r="N119" s="13"/>
      <c r="O119" s="13"/>
      <c r="P119" s="13"/>
    </row>
    <row r="120" customFormat="false" ht="14.25" hidden="false" customHeight="false" outlineLevel="0" collapsed="false">
      <c r="A120" s="13" t="s">
        <v>12</v>
      </c>
      <c r="B120" s="13" t="s">
        <v>183</v>
      </c>
      <c r="C120" s="1" t="str">
        <f aca="false">IFERROR(MID(B120,FIND("-",B120)+1,LEN(B120)),B120)</f>
        <v>1/9/2026</v>
      </c>
      <c r="E120" s="14"/>
      <c r="G120" s="13" t="n">
        <v>1</v>
      </c>
      <c r="H120" s="15" t="n">
        <v>0</v>
      </c>
      <c r="I120" s="16" t="n">
        <v>42330.6</v>
      </c>
      <c r="K120" s="13"/>
      <c r="L120" s="13"/>
      <c r="N120" s="13"/>
      <c r="O120" s="13"/>
      <c r="P120" s="13"/>
    </row>
    <row r="121" customFormat="false" ht="14.25" hidden="false" customHeight="false" outlineLevel="0" collapsed="false">
      <c r="A121" s="18" t="s">
        <v>35</v>
      </c>
      <c r="B121" s="18" t="s">
        <v>66</v>
      </c>
      <c r="C121" s="1" t="str">
        <f aca="false">IFERROR(MID(B121,FIND("-",B121)+1,LEN(B121)),B121)</f>
        <v>10/1/2025</v>
      </c>
      <c r="E121" s="19"/>
      <c r="G121" s="18" t="n">
        <v>1</v>
      </c>
      <c r="H121" s="20" t="n">
        <v>0</v>
      </c>
      <c r="I121" s="21" t="n">
        <v>42276.67</v>
      </c>
      <c r="K121" s="18"/>
      <c r="L121" s="18"/>
      <c r="N121" s="13"/>
      <c r="O121" s="13"/>
      <c r="P121" s="13"/>
    </row>
    <row r="122" customFormat="false" ht="14.25" hidden="false" customHeight="false" outlineLevel="0" collapsed="false">
      <c r="A122" s="18" t="s">
        <v>35</v>
      </c>
      <c r="B122" s="18" t="s">
        <v>75</v>
      </c>
      <c r="C122" s="1" t="str">
        <f aca="false">IFERROR(MID(B122,FIND("-",B122)+1,LEN(B122)),B122)</f>
        <v>10/15/2025</v>
      </c>
      <c r="E122" s="19"/>
      <c r="G122" s="18" t="n">
        <v>1</v>
      </c>
      <c r="H122" s="20" t="n">
        <v>0</v>
      </c>
      <c r="I122" s="21" t="n">
        <v>42276.67</v>
      </c>
      <c r="K122" s="18"/>
      <c r="L122" s="18"/>
      <c r="N122" s="13"/>
      <c r="O122" s="13"/>
      <c r="P122" s="13"/>
    </row>
    <row r="123" customFormat="false" ht="14.25" hidden="false" customHeight="false" outlineLevel="0" collapsed="false">
      <c r="A123" s="18" t="s">
        <v>35</v>
      </c>
      <c r="B123" s="18" t="s">
        <v>80</v>
      </c>
      <c r="C123" s="1" t="str">
        <f aca="false">IFERROR(MID(B123,FIND("-",B123)+1,LEN(B123)),B123)</f>
        <v>10/29/2025</v>
      </c>
      <c r="E123" s="19"/>
      <c r="G123" s="18" t="n">
        <v>1</v>
      </c>
      <c r="H123" s="20" t="n">
        <v>0</v>
      </c>
      <c r="I123" s="21" t="n">
        <v>42276.67</v>
      </c>
      <c r="K123" s="18"/>
      <c r="L123" s="18"/>
      <c r="N123" s="13"/>
      <c r="O123" s="13"/>
      <c r="P123" s="13"/>
    </row>
    <row r="124" customFormat="false" ht="14.25" hidden="false" customHeight="false" outlineLevel="0" collapsed="false">
      <c r="A124" s="18" t="s">
        <v>35</v>
      </c>
      <c r="B124" s="18" t="s">
        <v>81</v>
      </c>
      <c r="C124" s="1" t="str">
        <f aca="false">IFERROR(MID(B124,FIND("-",B124)+1,LEN(B124)),B124)</f>
        <v>11/12/2025</v>
      </c>
      <c r="E124" s="19"/>
      <c r="G124" s="18" t="n">
        <v>1</v>
      </c>
      <c r="H124" s="20" t="n">
        <v>0</v>
      </c>
      <c r="I124" s="21" t="n">
        <v>42276.67</v>
      </c>
      <c r="K124" s="18"/>
      <c r="L124" s="18"/>
      <c r="N124" s="13"/>
      <c r="O124" s="13"/>
      <c r="P124" s="13"/>
    </row>
    <row r="125" customFormat="false" ht="14.25" hidden="false" customHeight="false" outlineLevel="0" collapsed="false">
      <c r="A125" s="18" t="s">
        <v>35</v>
      </c>
      <c r="B125" s="18" t="s">
        <v>184</v>
      </c>
      <c r="C125" s="1" t="str">
        <f aca="false">IFERROR(MID(B125,FIND("-",B125)+1,LEN(B125)),B125)</f>
        <v>11/26/2025</v>
      </c>
      <c r="E125" s="19"/>
      <c r="G125" s="18" t="n">
        <v>1</v>
      </c>
      <c r="H125" s="20" t="n">
        <v>0</v>
      </c>
      <c r="I125" s="21" t="n">
        <v>42276.67</v>
      </c>
      <c r="K125" s="18"/>
      <c r="L125" s="18"/>
      <c r="N125" s="13"/>
      <c r="O125" s="13"/>
      <c r="P125" s="13"/>
    </row>
    <row r="126" customFormat="false" ht="14.25" hidden="false" customHeight="false" outlineLevel="0" collapsed="false">
      <c r="A126" s="18" t="s">
        <v>35</v>
      </c>
      <c r="B126" s="18" t="s">
        <v>185</v>
      </c>
      <c r="C126" s="1" t="str">
        <f aca="false">IFERROR(MID(B126,FIND("-",B126)+1,LEN(B126)),B126)</f>
        <v>12/10/2025</v>
      </c>
      <c r="E126" s="19"/>
      <c r="G126" s="18" t="n">
        <v>1</v>
      </c>
      <c r="H126" s="20" t="n">
        <v>0</v>
      </c>
      <c r="I126" s="21" t="n">
        <v>42276.67</v>
      </c>
      <c r="K126" s="18"/>
      <c r="L126" s="18"/>
      <c r="N126" s="13"/>
      <c r="O126" s="13"/>
      <c r="P126" s="13"/>
    </row>
    <row r="127" customFormat="false" ht="14.25" hidden="false" customHeight="false" outlineLevel="0" collapsed="false">
      <c r="A127" s="18" t="s">
        <v>35</v>
      </c>
      <c r="B127" s="18" t="s">
        <v>99</v>
      </c>
      <c r="C127" s="1" t="str">
        <f aca="false">IFERROR(MID(B127,FIND("-",B127)+1,LEN(B127)),B127)</f>
        <v>12/26/2025</v>
      </c>
      <c r="E127" s="19"/>
      <c r="G127" s="18" t="n">
        <v>1</v>
      </c>
      <c r="H127" s="20" t="n">
        <v>0</v>
      </c>
      <c r="I127" s="21" t="n">
        <v>42276.67</v>
      </c>
      <c r="K127" s="18"/>
      <c r="L127" s="18"/>
      <c r="N127" s="13"/>
      <c r="O127" s="13"/>
      <c r="P127" s="13"/>
    </row>
    <row r="128" customFormat="false" ht="14.25" hidden="false" customHeight="false" outlineLevel="0" collapsed="false">
      <c r="A128" s="13" t="s">
        <v>37</v>
      </c>
      <c r="B128" s="13" t="s">
        <v>186</v>
      </c>
      <c r="C128" s="1" t="str">
        <f aca="false">IFERROR(MID(B128,FIND("-",B128)+1,LEN(B128)),B128)</f>
        <v>12/30/2025</v>
      </c>
      <c r="E128" s="14"/>
      <c r="G128" s="13" t="n">
        <v>1</v>
      </c>
      <c r="H128" s="15" t="n">
        <v>0</v>
      </c>
      <c r="I128" s="16" t="n">
        <v>42330.6</v>
      </c>
      <c r="K128" s="13"/>
      <c r="L128" s="13"/>
      <c r="N128" s="18"/>
      <c r="O128" s="18"/>
      <c r="P128" s="18" t="s">
        <v>187</v>
      </c>
    </row>
    <row r="129" customFormat="false" ht="14.25" hidden="false" customHeight="false" outlineLevel="0" collapsed="false">
      <c r="A129" s="13" t="s">
        <v>21</v>
      </c>
      <c r="B129" s="13" t="s">
        <v>188</v>
      </c>
      <c r="C129" s="1" t="str">
        <f aca="false">IFERROR(MID(B129,FIND("-",B129)+1,LEN(B129)),B129)</f>
        <v>2/3/2026</v>
      </c>
      <c r="E129" s="14"/>
      <c r="G129" s="13" t="n">
        <v>1</v>
      </c>
      <c r="H129" s="15" t="n">
        <v>0</v>
      </c>
      <c r="I129" s="16" t="n">
        <v>42330.6</v>
      </c>
      <c r="K129" s="13"/>
      <c r="L129" s="13"/>
      <c r="N129" s="18"/>
      <c r="O129" s="18"/>
      <c r="P129" s="18" t="s">
        <v>187</v>
      </c>
    </row>
    <row r="130" customFormat="false" ht="14.25" hidden="false" customHeight="false" outlineLevel="0" collapsed="false">
      <c r="A130" s="13" t="s">
        <v>118</v>
      </c>
      <c r="B130" s="13" t="s">
        <v>188</v>
      </c>
      <c r="C130" s="1" t="str">
        <f aca="false">IFERROR(MID(B130,FIND("-",B130)+1,LEN(B130)),B130)</f>
        <v>2/3/2026</v>
      </c>
      <c r="E130" s="14"/>
      <c r="G130" s="13"/>
      <c r="H130" s="15" t="n">
        <v>0</v>
      </c>
      <c r="I130" s="16" t="n">
        <v>42330.6</v>
      </c>
      <c r="K130" s="13"/>
      <c r="L130" s="13"/>
      <c r="N130" s="18"/>
      <c r="O130" s="18"/>
      <c r="P130" s="18" t="s">
        <v>187</v>
      </c>
    </row>
    <row r="131" customFormat="false" ht="14.25" hidden="false" customHeight="false" outlineLevel="0" collapsed="false">
      <c r="A131" s="13" t="s">
        <v>37</v>
      </c>
      <c r="B131" s="13" t="s">
        <v>188</v>
      </c>
      <c r="C131" s="1" t="str">
        <f aca="false">IFERROR(MID(B131,FIND("-",B131)+1,LEN(B131)),B131)</f>
        <v>2/3/2026</v>
      </c>
      <c r="E131" s="14"/>
      <c r="G131" s="13" t="n">
        <v>1</v>
      </c>
      <c r="H131" s="15" t="n">
        <v>0</v>
      </c>
      <c r="I131" s="16" t="n">
        <v>42330.6</v>
      </c>
      <c r="K131" s="13"/>
      <c r="L131" s="13"/>
      <c r="N131" s="18"/>
      <c r="O131" s="18"/>
      <c r="P131" s="18" t="s">
        <v>187</v>
      </c>
    </row>
    <row r="132" customFormat="false" ht="14.25" hidden="false" customHeight="false" outlineLevel="0" collapsed="false">
      <c r="A132" s="13" t="s">
        <v>18</v>
      </c>
      <c r="B132" s="13" t="s">
        <v>189</v>
      </c>
      <c r="C132" s="1" t="str">
        <f aca="false">IFERROR(MID(B132,FIND("-",B132)+1,LEN(B132)),B132)</f>
        <v>2/4/2026</v>
      </c>
      <c r="E132" s="14"/>
      <c r="G132" s="13" t="n">
        <v>1</v>
      </c>
      <c r="H132" s="15" t="n">
        <v>0</v>
      </c>
      <c r="I132" s="16" t="n">
        <v>42330.6</v>
      </c>
      <c r="K132" s="13"/>
      <c r="L132" s="13"/>
      <c r="N132" s="18"/>
      <c r="O132" s="18"/>
      <c r="P132" s="18" t="s">
        <v>187</v>
      </c>
    </row>
    <row r="133" customFormat="false" ht="14.25" hidden="false" customHeight="false" outlineLevel="0" collapsed="false">
      <c r="A133" s="13" t="s">
        <v>12</v>
      </c>
      <c r="B133" s="13" t="s">
        <v>190</v>
      </c>
      <c r="C133" s="1" t="str">
        <f aca="false">IFERROR(MID(B133,FIND("-",B133)+1,LEN(B133)),B133)</f>
        <v>2/6/2026</v>
      </c>
      <c r="E133" s="14"/>
      <c r="G133" s="13"/>
      <c r="H133" s="15" t="n">
        <v>0</v>
      </c>
      <c r="I133" s="16" t="n">
        <v>42330.6</v>
      </c>
      <c r="K133" s="13"/>
      <c r="L133" s="13"/>
      <c r="N133" s="13"/>
      <c r="O133" s="13"/>
      <c r="P133" s="13"/>
    </row>
    <row r="134" customFormat="false" ht="14.25" hidden="false" customHeight="false" outlineLevel="0" collapsed="false">
      <c r="A134" s="18" t="s">
        <v>35</v>
      </c>
      <c r="B134" s="18" t="s">
        <v>23</v>
      </c>
      <c r="C134" s="1" t="str">
        <f aca="false">IFERROR(MID(B134,FIND("-",B134)+1,LEN(B134)),B134)</f>
        <v>8/20/2025</v>
      </c>
      <c r="E134" s="19"/>
      <c r="G134" s="18" t="n">
        <v>1</v>
      </c>
      <c r="H134" s="20" t="n">
        <v>0</v>
      </c>
      <c r="I134" s="21" t="n">
        <v>42276.67</v>
      </c>
      <c r="K134" s="18"/>
      <c r="L134" s="18"/>
      <c r="N134" s="18"/>
      <c r="O134" s="18"/>
      <c r="P134" s="18" t="s">
        <v>191</v>
      </c>
    </row>
    <row r="135" customFormat="false" ht="14.25" hidden="false" customHeight="false" outlineLevel="0" collapsed="false">
      <c r="A135" s="13" t="s">
        <v>192</v>
      </c>
      <c r="B135" s="13" t="s">
        <v>193</v>
      </c>
      <c r="C135" s="1" t="str">
        <f aca="false">IFERROR(MID(B135,FIND("-",B135)+1,LEN(B135)),B135)</f>
        <v>Jan 2026</v>
      </c>
      <c r="E135" s="14"/>
      <c r="G135" s="13" t="n">
        <v>1</v>
      </c>
      <c r="H135" s="15" t="n">
        <v>0</v>
      </c>
      <c r="I135" s="13"/>
      <c r="K135" s="13"/>
      <c r="L135" s="13"/>
      <c r="N135" s="13"/>
      <c r="O135" s="13"/>
      <c r="P135" s="13"/>
    </row>
    <row r="136" customFormat="false" ht="14.25" hidden="true" customHeight="false" outlineLevel="0" collapsed="false">
      <c r="A136" s="13" t="s">
        <v>155</v>
      </c>
      <c r="B136" s="33" t="n">
        <v>46023</v>
      </c>
      <c r="C136" s="33" t="n">
        <v>46023</v>
      </c>
      <c r="E136" s="2" t="s">
        <v>156</v>
      </c>
      <c r="G136" s="4" t="n">
        <v>1</v>
      </c>
      <c r="H136" s="28"/>
      <c r="I136" s="1"/>
      <c r="J136" s="28"/>
      <c r="K136" s="1"/>
      <c r="N136" s="13"/>
      <c r="O136" s="13"/>
      <c r="P136" s="13"/>
    </row>
    <row r="137" customFormat="false" ht="14.25" hidden="true" customHeight="false" outlineLevel="0" collapsed="false">
      <c r="A137" s="13" t="s">
        <v>155</v>
      </c>
      <c r="B137" s="33" t="n">
        <v>46023</v>
      </c>
      <c r="C137" s="33" t="n">
        <v>46023</v>
      </c>
      <c r="E137" s="2" t="s">
        <v>156</v>
      </c>
      <c r="G137" s="4" t="n">
        <v>1</v>
      </c>
      <c r="H137" s="28"/>
      <c r="I137" s="1"/>
      <c r="J137" s="28"/>
      <c r="K137" s="1"/>
      <c r="N137" s="13"/>
      <c r="O137" s="13"/>
      <c r="P137" s="13"/>
    </row>
    <row r="138" customFormat="false" ht="14.25" hidden="true" customHeight="false" outlineLevel="0" collapsed="false">
      <c r="A138" s="13" t="s">
        <v>192</v>
      </c>
      <c r="B138" s="33" t="n">
        <v>46023</v>
      </c>
      <c r="C138" s="33" t="n">
        <v>46023</v>
      </c>
      <c r="E138" s="2" t="s">
        <v>162</v>
      </c>
      <c r="G138" s="4" t="n">
        <v>1</v>
      </c>
      <c r="H138" s="28"/>
      <c r="I138" s="1"/>
      <c r="J138" s="28"/>
      <c r="K138" s="1"/>
      <c r="N138" s="13"/>
      <c r="O138" s="13"/>
      <c r="P138" s="13"/>
    </row>
    <row r="139" customFormat="false" ht="14.25" hidden="true" customHeight="false" outlineLevel="0" collapsed="false">
      <c r="A139" s="13" t="s">
        <v>21</v>
      </c>
      <c r="B139" s="33" t="n">
        <v>46023</v>
      </c>
      <c r="C139" s="33" t="n">
        <v>46023</v>
      </c>
      <c r="E139" s="2" t="s">
        <v>162</v>
      </c>
      <c r="F139" s="5"/>
      <c r="G139" s="4" t="n">
        <v>1</v>
      </c>
      <c r="H139" s="1"/>
      <c r="I139" s="1"/>
      <c r="J139" s="28"/>
      <c r="K139" s="28"/>
      <c r="L139" s="29"/>
      <c r="N139" s="13"/>
      <c r="O139" s="13"/>
      <c r="P139" s="13"/>
    </row>
    <row r="140" customFormat="false" ht="14.25" hidden="true" customHeight="false" outlineLevel="0" collapsed="false">
      <c r="A140" s="13" t="s">
        <v>21</v>
      </c>
      <c r="B140" s="33" t="n">
        <v>46023</v>
      </c>
      <c r="C140" s="33" t="n">
        <v>46023</v>
      </c>
      <c r="E140" s="2" t="s">
        <v>162</v>
      </c>
      <c r="F140" s="5"/>
      <c r="G140" s="4" t="n">
        <v>1</v>
      </c>
      <c r="H140" s="1"/>
      <c r="I140" s="1"/>
      <c r="J140" s="28"/>
      <c r="K140" s="28"/>
      <c r="L140" s="29"/>
      <c r="N140" s="13"/>
      <c r="O140" s="13"/>
      <c r="P140" s="13"/>
    </row>
    <row r="141" customFormat="false" ht="14.25" hidden="true" customHeight="false" outlineLevel="0" collapsed="false">
      <c r="A141" s="13" t="s">
        <v>118</v>
      </c>
      <c r="B141" s="33" t="n">
        <v>46028</v>
      </c>
      <c r="C141" s="33" t="n">
        <v>46028</v>
      </c>
      <c r="E141" s="2" t="s">
        <v>162</v>
      </c>
      <c r="G141" s="4" t="n">
        <v>1</v>
      </c>
      <c r="H141" s="28"/>
      <c r="I141" s="1"/>
      <c r="J141" s="28"/>
      <c r="K141" s="1"/>
      <c r="N141" s="13"/>
      <c r="O141" s="13"/>
      <c r="P141" s="13"/>
    </row>
    <row r="142" customFormat="false" ht="14.25" hidden="true" customHeight="false" outlineLevel="0" collapsed="false">
      <c r="A142" s="13" t="s">
        <v>169</v>
      </c>
      <c r="B142" s="33" t="n">
        <v>46028</v>
      </c>
      <c r="C142" s="33" t="n">
        <v>46028</v>
      </c>
      <c r="E142" s="2" t="s">
        <v>162</v>
      </c>
      <c r="G142" s="4" t="n">
        <v>1</v>
      </c>
      <c r="H142" s="28"/>
      <c r="I142" s="1"/>
      <c r="J142" s="28"/>
      <c r="K142" s="1"/>
      <c r="N142" s="13"/>
      <c r="O142" s="13"/>
      <c r="P142" s="13"/>
    </row>
    <row r="143" customFormat="false" ht="14.25" hidden="true" customHeight="false" outlineLevel="0" collapsed="false">
      <c r="A143" s="13" t="s">
        <v>18</v>
      </c>
      <c r="B143" s="33" t="n">
        <v>46029</v>
      </c>
      <c r="C143" s="33" t="n">
        <v>46029</v>
      </c>
      <c r="E143" s="2" t="s">
        <v>162</v>
      </c>
      <c r="F143" s="5"/>
      <c r="G143" s="4" t="n">
        <v>1</v>
      </c>
      <c r="H143" s="1"/>
      <c r="I143" s="1"/>
      <c r="J143" s="28"/>
      <c r="K143" s="28"/>
      <c r="L143" s="29"/>
      <c r="N143" s="18"/>
      <c r="O143" s="18"/>
      <c r="P143" s="18" t="s">
        <v>194</v>
      </c>
    </row>
    <row r="144" customFormat="false" ht="14.25" hidden="true" customHeight="false" outlineLevel="0" collapsed="false">
      <c r="A144" s="13" t="s">
        <v>12</v>
      </c>
      <c r="B144" s="33" t="n">
        <v>46031</v>
      </c>
      <c r="C144" s="33" t="n">
        <v>46031</v>
      </c>
      <c r="E144" s="2" t="s">
        <v>162</v>
      </c>
      <c r="G144" s="4" t="n">
        <v>1</v>
      </c>
      <c r="H144" s="28"/>
      <c r="I144" s="1"/>
      <c r="J144" s="28"/>
      <c r="K144" s="1"/>
      <c r="N144" s="18"/>
      <c r="O144" s="18"/>
      <c r="P144" s="18" t="s">
        <v>195</v>
      </c>
    </row>
    <row r="145" customFormat="false" ht="14.25" hidden="true" customHeight="false" outlineLevel="0" collapsed="false">
      <c r="A145" s="1" t="s">
        <v>196</v>
      </c>
      <c r="B145" s="33" t="n">
        <v>46041</v>
      </c>
      <c r="C145" s="33" t="n">
        <v>46041</v>
      </c>
      <c r="E145" s="2" t="s">
        <v>162</v>
      </c>
      <c r="F145" s="5"/>
      <c r="G145" s="4" t="n">
        <v>1</v>
      </c>
      <c r="H145" s="1"/>
      <c r="I145" s="1"/>
      <c r="J145" s="28"/>
      <c r="K145" s="28"/>
      <c r="L145" s="29"/>
      <c r="N145" s="18"/>
      <c r="O145" s="18"/>
      <c r="P145" s="18" t="s">
        <v>195</v>
      </c>
    </row>
    <row r="146" customFormat="false" ht="14.25" hidden="true" customHeight="false" outlineLevel="0" collapsed="false">
      <c r="A146" s="13" t="s">
        <v>118</v>
      </c>
      <c r="B146" s="33" t="n">
        <v>46042</v>
      </c>
      <c r="C146" s="33" t="n">
        <v>46042</v>
      </c>
      <c r="E146" s="2" t="s">
        <v>162</v>
      </c>
      <c r="G146" s="4" t="n">
        <v>1</v>
      </c>
      <c r="H146" s="28"/>
      <c r="I146" s="1"/>
      <c r="J146" s="28"/>
      <c r="K146" s="1"/>
      <c r="N146" s="18"/>
      <c r="O146" s="18"/>
      <c r="P146" s="18" t="s">
        <v>195</v>
      </c>
    </row>
    <row r="147" customFormat="false" ht="14.25" hidden="true" customHeight="false" outlineLevel="0" collapsed="false">
      <c r="A147" s="13" t="s">
        <v>37</v>
      </c>
      <c r="B147" s="33" t="n">
        <v>46042</v>
      </c>
      <c r="C147" s="33" t="n">
        <v>46042</v>
      </c>
      <c r="E147" s="2" t="s">
        <v>162</v>
      </c>
      <c r="G147" s="4" t="n">
        <v>1</v>
      </c>
      <c r="H147" s="28"/>
      <c r="I147" s="1"/>
      <c r="J147" s="28"/>
      <c r="K147" s="1"/>
      <c r="N147" s="18"/>
      <c r="O147" s="18"/>
      <c r="P147" s="18" t="s">
        <v>195</v>
      </c>
    </row>
    <row r="148" customFormat="false" ht="14.25" hidden="true" customHeight="false" outlineLevel="0" collapsed="false">
      <c r="A148" s="13" t="s">
        <v>169</v>
      </c>
      <c r="B148" s="33" t="n">
        <v>46042</v>
      </c>
      <c r="C148" s="33" t="n">
        <v>46042</v>
      </c>
      <c r="E148" s="2" t="s">
        <v>162</v>
      </c>
      <c r="G148" s="4" t="n">
        <v>1</v>
      </c>
      <c r="H148" s="28"/>
      <c r="I148" s="1"/>
      <c r="J148" s="28"/>
      <c r="K148" s="1"/>
      <c r="N148" s="18"/>
      <c r="O148" s="18"/>
      <c r="P148" s="18" t="s">
        <v>195</v>
      </c>
    </row>
    <row r="149" customFormat="false" ht="14.25" hidden="true" customHeight="false" outlineLevel="0" collapsed="false">
      <c r="A149" s="13" t="s">
        <v>18</v>
      </c>
      <c r="B149" s="33" t="n">
        <v>46043</v>
      </c>
      <c r="C149" s="33" t="n">
        <v>46043</v>
      </c>
      <c r="E149" s="2" t="s">
        <v>162</v>
      </c>
      <c r="F149" s="5"/>
      <c r="G149" s="4" t="n">
        <v>1</v>
      </c>
      <c r="H149" s="1"/>
      <c r="I149" s="1"/>
      <c r="J149" s="28"/>
      <c r="K149" s="28"/>
      <c r="L149" s="29"/>
      <c r="N149" s="18"/>
      <c r="O149" s="18"/>
      <c r="P149" s="18" t="s">
        <v>195</v>
      </c>
    </row>
    <row r="150" customFormat="false" ht="14.25" hidden="true" customHeight="false" outlineLevel="0" collapsed="false">
      <c r="A150" s="13" t="s">
        <v>12</v>
      </c>
      <c r="B150" s="33" t="n">
        <v>46045</v>
      </c>
      <c r="C150" s="33" t="n">
        <v>46045</v>
      </c>
      <c r="E150" s="2" t="s">
        <v>162</v>
      </c>
      <c r="G150" s="4" t="n">
        <v>1</v>
      </c>
      <c r="H150" s="28"/>
      <c r="I150" s="1"/>
      <c r="J150" s="28"/>
      <c r="K150" s="1"/>
      <c r="N150" s="18"/>
      <c r="O150" s="18"/>
      <c r="P150" s="18"/>
    </row>
    <row r="151" customFormat="false" ht="14.25" hidden="true" customHeight="false" outlineLevel="0" collapsed="false">
      <c r="A151" s="13" t="s">
        <v>37</v>
      </c>
      <c r="B151" s="33" t="n">
        <v>46056</v>
      </c>
      <c r="C151" s="33" t="n">
        <v>46056</v>
      </c>
      <c r="E151" s="2" t="s">
        <v>162</v>
      </c>
      <c r="G151" s="4" t="n">
        <v>1</v>
      </c>
      <c r="H151" s="28"/>
      <c r="I151" s="1"/>
      <c r="J151" s="28"/>
      <c r="K151" s="1"/>
      <c r="N151" s="18"/>
      <c r="O151" s="18"/>
      <c r="P151" s="18"/>
    </row>
    <row r="152" customFormat="false" ht="14.25" hidden="false" customHeight="false" outlineLevel="0" collapsed="false">
      <c r="A152" s="13"/>
      <c r="B152" s="1"/>
      <c r="E152" s="14"/>
      <c r="G152" s="13"/>
      <c r="H152" s="13"/>
      <c r="I152" s="13"/>
      <c r="K152" s="13"/>
      <c r="L152" s="13"/>
      <c r="N152" s="13"/>
      <c r="O152" s="13"/>
      <c r="P152" s="13"/>
    </row>
    <row r="153" customFormat="false" ht="14.25" hidden="false" customHeight="false" outlineLevel="0" collapsed="false">
      <c r="A153" s="13"/>
      <c r="B153" s="1"/>
      <c r="E153" s="14"/>
      <c r="G153" s="13"/>
      <c r="H153" s="13"/>
      <c r="I153" s="13"/>
      <c r="K153" s="13"/>
      <c r="L153" s="13"/>
      <c r="N153" s="13"/>
      <c r="O153" s="13"/>
      <c r="P153" s="13"/>
    </row>
    <row r="154" customFormat="false" ht="14.25" hidden="false" customHeight="false" outlineLevel="0" collapsed="false">
      <c r="A154" s="13"/>
      <c r="B154" s="1"/>
      <c r="E154" s="14"/>
      <c r="G154" s="13"/>
      <c r="H154" s="13"/>
      <c r="I154" s="13"/>
      <c r="K154" s="13"/>
      <c r="L154" s="13"/>
      <c r="N154" s="13"/>
      <c r="O154" s="13"/>
      <c r="P154" s="13"/>
    </row>
    <row r="155" customFormat="false" ht="14.25" hidden="false" customHeight="false" outlineLevel="0" collapsed="false">
      <c r="A155" s="13"/>
      <c r="B155" s="1"/>
      <c r="E155" s="14"/>
      <c r="G155" s="13"/>
      <c r="H155" s="13"/>
      <c r="I155" s="13"/>
      <c r="K155" s="13"/>
      <c r="L155" s="13"/>
      <c r="N155" s="13"/>
      <c r="O155" s="13"/>
      <c r="P155" s="13"/>
    </row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M151">
    <filterColumn colId="7">
      <filters>
        <filter val=" $1,574 "/>
        <filter val=" $113,149 "/>
        <filter val=" $2,311 "/>
        <filter val=" $23,123 "/>
        <filter val=" $28,683 "/>
        <filter val=" $28,997 "/>
        <filter val=" $30,186 "/>
        <filter val=" $30,775 "/>
        <filter val=" $36,036 "/>
        <filter val=" $37,916 "/>
        <filter val=" $39,797 "/>
        <filter val=" $39,817 "/>
        <filter val=" $39,878 "/>
        <filter val=" $39,882 "/>
        <filter val=" $39,898 "/>
        <filter val=" $39,899 "/>
        <filter val=" $40,035 "/>
        <filter val=" $40,117 "/>
        <filter val=" $40,274 "/>
        <filter val=" $41,141 "/>
        <filter val=" $42,254 "/>
        <filter val=" $42,265 "/>
        <filter val=" $42,329 "/>
        <filter val=" $42,331 "/>
        <filter val=" $573 "/>
        <filter val=" $67,945 "/>
        <filter val=" $78,636 "/>
        <filter val=" $78,832 "/>
        <filter val=" $79,405 "/>
        <filter val=" $79,635 "/>
        <filter val=" $80,606 "/>
        <filter val=" $83,528 "/>
        <filter val=" $84,499 "/>
        <filter val=" $89,660 "/>
        <filter val="$28,997.78"/>
        <filter val="$31,807.83"/>
        <filter val="$35,398.84"/>
        <filter val="22,361"/>
        <filter val="28,825"/>
        <filter val="28,997"/>
        <filter val="28,998"/>
        <filter val="28997"/>
        <filter val="39,899"/>
        <filter val="39325"/>
        <filter val="39897"/>
        <filter val="85,695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2.8046875" defaultRowHeight="12.8" customHeight="false" zeroHeight="false" outlineLevelRow="0" outlineLevelCol="0"/>
  <sheetData>
    <row r="1" customFormat="false" ht="14.1" hidden="false" customHeight="false" outlineLevel="0" collapsed="false">
      <c r="A1" s="7" t="s">
        <v>197</v>
      </c>
      <c r="B1" s="7" t="s">
        <v>198</v>
      </c>
    </row>
    <row r="2" customFormat="false" ht="14.1" hidden="false" customHeight="false" outlineLevel="0" collapsed="false">
      <c r="A2" s="17" t="n">
        <v>45904</v>
      </c>
      <c r="B2" s="34" t="n">
        <v>37500</v>
      </c>
    </row>
    <row r="3" customFormat="false" ht="14.1" hidden="false" customHeight="false" outlineLevel="0" collapsed="false">
      <c r="A3" s="17" t="n">
        <v>45906</v>
      </c>
      <c r="B3" s="34" t="n">
        <v>25000</v>
      </c>
    </row>
    <row r="4" customFormat="false" ht="14.1" hidden="false" customHeight="false" outlineLevel="0" collapsed="false">
      <c r="A4" s="17" t="n">
        <v>45923</v>
      </c>
      <c r="B4" s="34" t="n">
        <v>25000</v>
      </c>
    </row>
    <row r="5" customFormat="false" ht="14.1" hidden="false" customHeight="false" outlineLevel="0" collapsed="false">
      <c r="A5" s="17" t="n">
        <v>45940</v>
      </c>
      <c r="B5" s="34" t="n">
        <v>50000</v>
      </c>
    </row>
    <row r="6" customFormat="false" ht="14.1" hidden="false" customHeight="false" outlineLevel="0" collapsed="false">
      <c r="A6" s="17" t="n">
        <v>45947</v>
      </c>
      <c r="B6" s="34" t="n">
        <v>75000</v>
      </c>
    </row>
    <row r="7" customFormat="false" ht="14.1" hidden="false" customHeight="false" outlineLevel="0" collapsed="false">
      <c r="A7" s="17" t="n">
        <v>45954</v>
      </c>
      <c r="B7" s="34" t="n">
        <v>122000</v>
      </c>
    </row>
    <row r="8" customFormat="false" ht="14.1" hidden="false" customHeight="false" outlineLevel="0" collapsed="false">
      <c r="A8" s="17" t="n">
        <v>46354</v>
      </c>
      <c r="B8" s="34" t="n">
        <v>25000</v>
      </c>
    </row>
    <row r="9" customFormat="false" ht="14.1" hidden="false" customHeight="false" outlineLevel="0" collapsed="false">
      <c r="A9" s="17" t="n">
        <v>46037</v>
      </c>
      <c r="B9" s="34" t="n">
        <v>150000</v>
      </c>
    </row>
    <row r="1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A12" activeCellId="0" sqref="A12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7" t="s">
        <v>199</v>
      </c>
      <c r="B1" s="7" t="s">
        <v>200</v>
      </c>
      <c r="C1" s="7" t="s">
        <v>201</v>
      </c>
    </row>
    <row r="2" customFormat="false" ht="13.8" hidden="false" customHeight="false" outlineLevel="0" collapsed="false">
      <c r="A2" s="1" t="s">
        <v>202</v>
      </c>
      <c r="B2" s="17" t="n">
        <v>45717</v>
      </c>
      <c r="C2" s="35" t="n">
        <v>60000</v>
      </c>
    </row>
    <row r="3" customFormat="false" ht="13.8" hidden="false" customHeight="false" outlineLevel="0" collapsed="false">
      <c r="A3" s="1" t="s">
        <v>203</v>
      </c>
      <c r="B3" s="17" t="n">
        <v>45717</v>
      </c>
      <c r="C3" s="35" t="n">
        <v>40000</v>
      </c>
    </row>
    <row r="4" customFormat="false" ht="13.8" hidden="false" customHeight="false" outlineLevel="0" collapsed="false">
      <c r="A4" s="1" t="s">
        <v>204</v>
      </c>
      <c r="B4" s="17" t="n">
        <v>45809</v>
      </c>
      <c r="C4" s="35" t="n">
        <v>120000</v>
      </c>
    </row>
    <row r="5" customFormat="false" ht="13.8" hidden="false" customHeight="false" outlineLevel="0" collapsed="false">
      <c r="A5" s="1" t="s">
        <v>205</v>
      </c>
      <c r="B5" s="17" t="n">
        <v>45809</v>
      </c>
      <c r="C5" s="35" t="n">
        <v>48000</v>
      </c>
    </row>
    <row r="6" customFormat="false" ht="13.8" hidden="false" customHeight="false" outlineLevel="0" collapsed="false">
      <c r="A6" s="1" t="s">
        <v>206</v>
      </c>
      <c r="B6" s="17" t="n">
        <v>45887</v>
      </c>
      <c r="C6" s="35" t="n">
        <v>120000</v>
      </c>
    </row>
    <row r="7" customFormat="false" ht="13.8" hidden="false" customHeight="false" outlineLevel="0" collapsed="false">
      <c r="A7" s="1" t="s">
        <v>207</v>
      </c>
      <c r="B7" s="17" t="n">
        <v>45887</v>
      </c>
      <c r="C7" s="35" t="n">
        <v>120000</v>
      </c>
    </row>
    <row r="8" customFormat="false" ht="13.8" hidden="false" customHeight="false" outlineLevel="0" collapsed="false">
      <c r="A8" s="1" t="s">
        <v>208</v>
      </c>
      <c r="B8" s="17" t="n">
        <v>45931</v>
      </c>
      <c r="C8" s="35" t="n">
        <v>145000</v>
      </c>
    </row>
    <row r="9" customFormat="false" ht="13.8" hidden="false" customHeight="false" outlineLevel="0" collapsed="false">
      <c r="A9" s="1" t="s">
        <v>209</v>
      </c>
      <c r="B9" s="17" t="n">
        <v>45931</v>
      </c>
      <c r="C9" s="35" t="n">
        <v>145000</v>
      </c>
    </row>
    <row r="10" customFormat="false" ht="13.8" hidden="false" customHeight="false" outlineLevel="0" collapsed="false">
      <c r="A10" s="1" t="s">
        <v>210</v>
      </c>
      <c r="B10" s="17" t="n">
        <v>45931</v>
      </c>
      <c r="C10" s="35" t="n">
        <v>145000</v>
      </c>
    </row>
    <row r="11" customFormat="false" ht="13.8" hidden="false" customHeight="false" outlineLevel="0" collapsed="false"/>
    <row r="12" customFormat="false" ht="13.8" hidden="false" customHeight="false" outlineLevel="0" collapsed="false">
      <c r="A12" s="1" t="s">
        <v>211</v>
      </c>
      <c r="B12" s="36" t="n">
        <f aca="false">SUM(C$2:C$3)/12</f>
        <v>8333.33333333333</v>
      </c>
    </row>
    <row r="13" customFormat="false" ht="13.8" hidden="false" customHeight="false" outlineLevel="0" collapsed="false">
      <c r="A13" s="1" t="s">
        <v>209</v>
      </c>
      <c r="B13" s="36" t="n">
        <f aca="false">SUM(C$2:C$3)/12</f>
        <v>8333.33333333333</v>
      </c>
    </row>
    <row r="14" customFormat="false" ht="13.8" hidden="false" customHeight="false" outlineLevel="0" collapsed="false">
      <c r="A14" s="1" t="s">
        <v>212</v>
      </c>
      <c r="B14" s="36" t="n">
        <f aca="false">SUM(C$2:C$3)/12</f>
        <v>8333.33333333333</v>
      </c>
    </row>
    <row r="15" customFormat="false" ht="13.8" hidden="false" customHeight="false" outlineLevel="0" collapsed="false">
      <c r="A15" s="1" t="s">
        <v>213</v>
      </c>
      <c r="B15" s="36" t="n">
        <f aca="false">SUM(C$2:C$5)/12</f>
        <v>22333.3333333333</v>
      </c>
    </row>
    <row r="16" customFormat="false" ht="13.8" hidden="false" customHeight="false" outlineLevel="0" collapsed="false">
      <c r="A16" s="1" t="s">
        <v>214</v>
      </c>
      <c r="B16" s="36" t="n">
        <f aca="false">SUM(C$2:C$5)/12</f>
        <v>22333.3333333333</v>
      </c>
    </row>
    <row r="17" customFormat="false" ht="13.8" hidden="false" customHeight="false" outlineLevel="0" collapsed="false">
      <c r="A17" s="1" t="s">
        <v>215</v>
      </c>
      <c r="B17" s="36" t="n">
        <f aca="false">SUM(C$2:C$6)/12</f>
        <v>32333.3333333333</v>
      </c>
    </row>
    <row r="18" customFormat="false" ht="13.8" hidden="false" customHeight="false" outlineLevel="0" collapsed="false">
      <c r="A18" s="1" t="s">
        <v>216</v>
      </c>
      <c r="B18" s="36" t="n">
        <f aca="false">SUM(C$2:C$6)/12</f>
        <v>32333.3333333333</v>
      </c>
    </row>
    <row r="19" customFormat="false" ht="13.8" hidden="false" customHeight="false" outlineLevel="0" collapsed="false">
      <c r="A19" s="1" t="s">
        <v>217</v>
      </c>
      <c r="B19" s="36" t="n">
        <f aca="false">SUM(C$2:C$10)/12</f>
        <v>78583.3333333333</v>
      </c>
    </row>
    <row r="20" customFormat="false" ht="13.8" hidden="false" customHeight="false" outlineLevel="0" collapsed="false">
      <c r="A20" s="1" t="s">
        <v>218</v>
      </c>
      <c r="B20" s="36" t="n">
        <f aca="false">SUM(C$2:C$10)/12</f>
        <v>78583.3333333333</v>
      </c>
    </row>
    <row r="21" customFormat="false" ht="13.8" hidden="false" customHeight="false" outlineLevel="0" collapsed="false">
      <c r="A21" s="1" t="s">
        <v>219</v>
      </c>
      <c r="B21" s="36" t="n">
        <f aca="false">SUM(C$2:C$10)/12</f>
        <v>78583.3333333333</v>
      </c>
    </row>
    <row r="22" customFormat="false" ht="13.8" hidden="false" customHeight="false" outlineLevel="0" collapsed="false">
      <c r="A22" s="1" t="s">
        <v>220</v>
      </c>
      <c r="B22" s="36" t="n">
        <f aca="false">SUM(C$2:C$10)/12</f>
        <v>78583.3333333333</v>
      </c>
    </row>
  </sheetData>
  <autoFilter ref="A1:C1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7" t="str">
        <f aca="false" t="array" ref="A1:A11">_xlfn.UNIQUE(EOBs!A1:A15)</f>
        <v>Patient</v>
      </c>
      <c r="B1" s="2"/>
    </row>
    <row r="2" customFormat="false" ht="13.8" hidden="false" customHeight="false" outlineLevel="0" collapsed="false">
      <c r="A2" s="1" t="str">
        <v>Hagen, William</v>
      </c>
      <c r="B2" s="2" t="s">
        <v>221</v>
      </c>
    </row>
    <row r="3" customFormat="false" ht="13.8" hidden="false" customHeight="false" outlineLevel="0" collapsed="false">
      <c r="A3" s="1" t="str">
        <v>Moscato, Salvatore</v>
      </c>
      <c r="B3" s="2" t="s">
        <v>221</v>
      </c>
    </row>
    <row r="4" customFormat="false" ht="13.8" hidden="false" customHeight="false" outlineLevel="0" collapsed="false">
      <c r="A4" s="1" t="str">
        <v>Clay, Robert</v>
      </c>
      <c r="B4" s="2" t="s">
        <v>221</v>
      </c>
    </row>
    <row r="5" customFormat="false" ht="13.8" hidden="false" customHeight="false" outlineLevel="0" collapsed="false">
      <c r="A5" s="1" t="str">
        <v>Gambony,Martin</v>
      </c>
      <c r="B5" s="2" t="s">
        <v>221</v>
      </c>
    </row>
    <row r="6" customFormat="false" ht="13.8" hidden="false" customHeight="false" outlineLevel="0" collapsed="false">
      <c r="A6" s="1" t="str">
        <v>Bauer, Jeffrey</v>
      </c>
      <c r="B6" s="2" t="s">
        <v>221</v>
      </c>
    </row>
    <row r="7" customFormat="false" ht="13.8" hidden="false" customHeight="false" outlineLevel="0" collapsed="false">
      <c r="A7" s="1" t="str">
        <v>Ambrosio,Francesco</v>
      </c>
      <c r="B7" s="2" t="s">
        <v>221</v>
      </c>
    </row>
    <row r="8" customFormat="false" ht="13.8" hidden="false" customHeight="false" outlineLevel="0" collapsed="false">
      <c r="A8" s="1" t="str">
        <v>Riberia, Ernesto</v>
      </c>
      <c r="B8" s="2" t="s">
        <v>221</v>
      </c>
    </row>
    <row r="9" customFormat="false" ht="13.8" hidden="false" customHeight="false" outlineLevel="0" collapsed="false">
      <c r="A9" s="1" t="str">
        <v>Cerrigone,Girolamo</v>
      </c>
      <c r="B9" s="2" t="s">
        <v>221</v>
      </c>
    </row>
    <row r="10" customFormat="false" ht="13.8" hidden="false" customHeight="false" outlineLevel="0" collapsed="false">
      <c r="A10" s="1" t="e">
        <v>#N/A</v>
      </c>
      <c r="B10" s="2"/>
    </row>
    <row r="11" customFormat="false" ht="13.8" hidden="false" customHeight="false" outlineLevel="0" collapsed="false">
      <c r="A11" s="1" t="e">
        <v>#N/A</v>
      </c>
      <c r="B11" s="2" t="s">
        <v>221</v>
      </c>
    </row>
    <row r="12" customFormat="false" ht="13.8" hidden="false" customHeight="false" outlineLevel="0" collapsed="false">
      <c r="B12" s="2"/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>
      <c r="A15" s="1" t="s">
        <v>222</v>
      </c>
      <c r="B15" s="2" t="s">
        <v>223</v>
      </c>
    </row>
    <row r="16" customFormat="false" ht="13.8" hidden="false" customHeight="false" outlineLevel="0" collapsed="false"/>
    <row r="17" customFormat="false" ht="13.8" hidden="false" customHeight="false" outlineLevel="0" collapsed="false">
      <c r="A17" s="1" t="s">
        <v>224</v>
      </c>
      <c r="B17" s="2" t="s">
        <v>225</v>
      </c>
    </row>
    <row r="18" customFormat="false" ht="13.8" hidden="false" customHeight="false" outlineLevel="0" collapsed="false">
      <c r="A18" s="1" t="s">
        <v>226</v>
      </c>
      <c r="B18" s="2" t="s">
        <v>227</v>
      </c>
      <c r="C18" s="1" t="s">
        <v>228</v>
      </c>
      <c r="D18" s="1" t="s">
        <v>229</v>
      </c>
    </row>
    <row r="19" customFormat="false" ht="13.8" hidden="false" customHeight="false" outlineLevel="0" collapsed="false">
      <c r="A19" s="1" t="s">
        <v>230</v>
      </c>
      <c r="B19" s="1" t="s">
        <v>231</v>
      </c>
      <c r="C19" s="1" t="s">
        <v>232</v>
      </c>
    </row>
    <row r="20" customFormat="false" ht="13.8" hidden="false" customHeight="false" outlineLevel="0" collapsed="false">
      <c r="A20" s="1" t="s">
        <v>161</v>
      </c>
    </row>
    <row r="21" customFormat="false" ht="13.8" hidden="false" customHeight="false" outlineLevel="0" collapsed="false">
      <c r="A21" s="1" t="s">
        <v>233</v>
      </c>
      <c r="B21" s="1" t="s">
        <v>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2.8046875" defaultRowHeight="13.8" customHeight="false" zeroHeight="false" outlineLevelRow="0" outlineLevelCol="0"/>
  <cols>
    <col collapsed="false" customWidth="false" hidden="false" outlineLevel="0" max="14" min="8" style="35" width="12.8"/>
  </cols>
  <sheetData>
    <row r="1" customFormat="false" ht="13.8" hidden="false" customHeight="false" outlineLevel="0" collapsed="false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10" t="s">
        <v>5</v>
      </c>
      <c r="G1" s="11" t="s">
        <v>6</v>
      </c>
      <c r="H1" s="37" t="s">
        <v>7</v>
      </c>
      <c r="I1" s="37" t="s">
        <v>235</v>
      </c>
      <c r="J1" s="37" t="s">
        <v>236</v>
      </c>
      <c r="K1" s="37" t="s">
        <v>237</v>
      </c>
      <c r="L1" s="37" t="s">
        <v>238</v>
      </c>
      <c r="M1" s="37" t="s">
        <v>239</v>
      </c>
      <c r="N1" s="37"/>
      <c r="O1" s="7" t="s">
        <v>8</v>
      </c>
      <c r="P1" s="7" t="s">
        <v>9</v>
      </c>
      <c r="Q1" s="7" t="s">
        <v>10</v>
      </c>
      <c r="R1" s="7" t="s">
        <v>11</v>
      </c>
      <c r="S1" s="7" t="s">
        <v>10</v>
      </c>
    </row>
    <row r="2" customFormat="false" ht="13.8" hidden="false" customHeight="false" outlineLevel="0" collapsed="false">
      <c r="A2" s="1" t="s">
        <v>240</v>
      </c>
      <c r="B2" s="2" t="s">
        <v>241</v>
      </c>
      <c r="C2" s="2" t="n">
        <v>45866</v>
      </c>
      <c r="D2" s="1"/>
      <c r="E2" s="2" t="n">
        <v>45877</v>
      </c>
      <c r="F2" s="5" t="n">
        <f aca="false">DAYS360(C2,E2)</f>
        <v>10</v>
      </c>
      <c r="G2" s="4" t="n">
        <v>2</v>
      </c>
      <c r="H2" s="38" t="n">
        <v>78831.74</v>
      </c>
      <c r="I2" s="35" t="n">
        <f aca="false">IF(H2&lt;0,H2,0)</f>
        <v>0</v>
      </c>
      <c r="J2" s="35" t="n">
        <f aca="false">IF(H2&gt;0,H2,0)</f>
        <v>78831.74</v>
      </c>
      <c r="K2" s="35" t="e">
        <f aca="false">K1+I2</f>
        <v>#VALUE!</v>
      </c>
      <c r="L2" s="35" t="e">
        <f aca="false">L1+J2</f>
        <v>#VALUE!</v>
      </c>
      <c r="M2" s="35" t="e">
        <f aca="false">M1+H2</f>
        <v>#VALUE!</v>
      </c>
      <c r="O2" s="1" t="s">
        <v>242</v>
      </c>
      <c r="P2" s="28" t="n">
        <f aca="false">H2/G2</f>
        <v>39415.87</v>
      </c>
      <c r="Q2" s="1"/>
      <c r="R2" s="29" t="e">
        <f aca="false">R1+H2</f>
        <v>#VALUE!</v>
      </c>
    </row>
    <row r="3" customFormat="false" ht="13.8" hidden="false" customHeight="false" outlineLevel="0" collapsed="false">
      <c r="A3" s="1" t="s">
        <v>240</v>
      </c>
      <c r="B3" s="2" t="s">
        <v>243</v>
      </c>
      <c r="C3" s="2" t="n">
        <v>45831</v>
      </c>
      <c r="D3" s="39"/>
      <c r="E3" s="2" t="n">
        <v>45878</v>
      </c>
      <c r="F3" s="5" t="n">
        <f aca="false">DAYS360(C3,E3)</f>
        <v>46</v>
      </c>
      <c r="G3" s="4" t="n">
        <f aca="false">2</f>
        <v>2</v>
      </c>
      <c r="H3" s="38" t="n">
        <v>80605.52</v>
      </c>
      <c r="I3" s="35" t="n">
        <f aca="false">IF(H3&lt;0,H3,0)</f>
        <v>0</v>
      </c>
      <c r="J3" s="35" t="n">
        <f aca="false">IF(H3&gt;0,H3,0)</f>
        <v>80605.52</v>
      </c>
      <c r="K3" s="35" t="e">
        <f aca="false">K2+I3</f>
        <v>#VALUE!</v>
      </c>
      <c r="L3" s="35" t="e">
        <f aca="false">L2+J3</f>
        <v>#VALUE!</v>
      </c>
      <c r="M3" s="35" t="e">
        <f aca="false">M2+H3</f>
        <v>#VALUE!</v>
      </c>
      <c r="O3" s="1" t="s">
        <v>242</v>
      </c>
      <c r="P3" s="28" t="n">
        <f aca="false">H3/G3</f>
        <v>40302.76</v>
      </c>
      <c r="Q3" s="1"/>
      <c r="R3" s="29" t="e">
        <f aca="false">R2+H3</f>
        <v>#VALUE!</v>
      </c>
    </row>
    <row r="4" customFormat="false" ht="13.8" hidden="false" customHeight="false" outlineLevel="0" collapsed="false">
      <c r="A4" s="1" t="s">
        <v>240</v>
      </c>
      <c r="B4" s="2" t="n">
        <v>45882</v>
      </c>
      <c r="C4" s="2" t="n">
        <v>45882</v>
      </c>
      <c r="D4" s="1"/>
      <c r="E4" s="2" t="n">
        <v>45920</v>
      </c>
      <c r="F4" s="5" t="n">
        <f aca="false">DAYS360(C4,E4)</f>
        <v>37</v>
      </c>
      <c r="G4" s="4" t="n">
        <v>1</v>
      </c>
      <c r="H4" s="38" t="n">
        <f aca="false">39244+573</f>
        <v>39817</v>
      </c>
      <c r="I4" s="35" t="n">
        <f aca="false">IF(H4&lt;0,H4,0)</f>
        <v>0</v>
      </c>
      <c r="J4" s="35" t="n">
        <f aca="false">IF(H4&gt;0,H4,0)</f>
        <v>39817</v>
      </c>
      <c r="K4" s="35" t="e">
        <f aca="false">K3+I4</f>
        <v>#VALUE!</v>
      </c>
      <c r="L4" s="35" t="e">
        <f aca="false">L3+J4</f>
        <v>#VALUE!</v>
      </c>
      <c r="M4" s="35" t="e">
        <f aca="false">M3+H4</f>
        <v>#VALUE!</v>
      </c>
      <c r="O4" s="1" t="s">
        <v>242</v>
      </c>
      <c r="P4" s="28" t="n">
        <f aca="false">H4/G4</f>
        <v>39817</v>
      </c>
      <c r="Q4" s="1"/>
      <c r="R4" s="29" t="e">
        <f aca="false">R3+H4</f>
        <v>#VALUE!</v>
      </c>
    </row>
    <row r="5" customFormat="false" ht="13.8" hidden="false" customHeight="false" outlineLevel="0" collapsed="false">
      <c r="A5" s="1" t="s">
        <v>240</v>
      </c>
      <c r="B5" s="2" t="n">
        <v>45896</v>
      </c>
      <c r="C5" s="2" t="n">
        <v>45896</v>
      </c>
      <c r="D5" s="1"/>
      <c r="E5" s="2" t="n">
        <v>45948</v>
      </c>
      <c r="F5" s="5" t="n">
        <f aca="false">DAYS360(C5,E5)</f>
        <v>51</v>
      </c>
      <c r="G5" s="4" t="n">
        <v>1</v>
      </c>
      <c r="H5" s="38" t="n">
        <v>40117</v>
      </c>
      <c r="I5" s="35" t="n">
        <f aca="false">IF(H5&lt;0,H5,0)</f>
        <v>0</v>
      </c>
      <c r="J5" s="35" t="n">
        <f aca="false">IF(H5&gt;0,H5,0)</f>
        <v>40117</v>
      </c>
      <c r="K5" s="35" t="e">
        <f aca="false">K4+I5</f>
        <v>#VALUE!</v>
      </c>
      <c r="L5" s="35" t="e">
        <f aca="false">L4+J5</f>
        <v>#VALUE!</v>
      </c>
      <c r="M5" s="35" t="e">
        <f aca="false">M4+H5</f>
        <v>#VALUE!</v>
      </c>
      <c r="O5" s="1" t="s">
        <v>242</v>
      </c>
      <c r="P5" s="28" t="n">
        <f aca="false">H5/G5</f>
        <v>40117</v>
      </c>
      <c r="Q5" s="1"/>
      <c r="R5" s="29" t="e">
        <f aca="false">R4+H5</f>
        <v>#VALUE!</v>
      </c>
    </row>
    <row r="6" customFormat="false" ht="13.8" hidden="false" customHeight="false" outlineLevel="0" collapsed="false">
      <c r="A6" s="1" t="s">
        <v>240</v>
      </c>
      <c r="B6" s="2" t="n">
        <v>45925</v>
      </c>
      <c r="C6" s="2" t="n">
        <v>45925</v>
      </c>
      <c r="D6" s="1"/>
      <c r="E6" s="2" t="n">
        <v>45955</v>
      </c>
      <c r="F6" s="5" t="n">
        <f aca="false">DAYS360(C6,E6)</f>
        <v>30</v>
      </c>
      <c r="G6" s="4" t="n">
        <v>1</v>
      </c>
      <c r="H6" s="38" t="n">
        <f aca="false">39325+949</f>
        <v>40274</v>
      </c>
      <c r="I6" s="35" t="n">
        <f aca="false">IF(H6&lt;0,H6,0)</f>
        <v>0</v>
      </c>
      <c r="J6" s="35" t="n">
        <f aca="false">IF(H6&gt;0,H6,0)</f>
        <v>40274</v>
      </c>
      <c r="K6" s="35" t="e">
        <f aca="false">K5+I6</f>
        <v>#VALUE!</v>
      </c>
      <c r="L6" s="35" t="e">
        <f aca="false">L5+J6</f>
        <v>#VALUE!</v>
      </c>
      <c r="M6" s="35" t="e">
        <f aca="false">M5+H6</f>
        <v>#VALUE!</v>
      </c>
      <c r="O6" s="1" t="s">
        <v>242</v>
      </c>
      <c r="P6" s="28" t="n">
        <f aca="false">H6/G6</f>
        <v>40274</v>
      </c>
      <c r="Q6" s="1"/>
      <c r="R6" s="29" t="e">
        <f aca="false">R5+H6</f>
        <v>#VALUE!</v>
      </c>
    </row>
    <row r="7" customFormat="false" ht="13.8" hidden="false" customHeight="false" outlineLevel="0" collapsed="false">
      <c r="A7" s="1" t="s">
        <v>240</v>
      </c>
      <c r="B7" s="2" t="n">
        <v>45911</v>
      </c>
      <c r="C7" s="2" t="n">
        <v>45911</v>
      </c>
      <c r="D7" s="1"/>
      <c r="E7" s="2" t="n">
        <v>45962</v>
      </c>
      <c r="F7" s="5" t="n">
        <f aca="false">DAYS360(C7,E7)</f>
        <v>50</v>
      </c>
      <c r="G7" s="4" t="n">
        <v>1</v>
      </c>
      <c r="H7" s="38" t="n">
        <v>39898</v>
      </c>
      <c r="I7" s="35" t="n">
        <f aca="false">IF(H7&lt;0,H7,0)</f>
        <v>0</v>
      </c>
      <c r="J7" s="35" t="n">
        <f aca="false">IF(H7&gt;0,H7,0)</f>
        <v>39898</v>
      </c>
      <c r="K7" s="35" t="e">
        <f aca="false">K6+I7</f>
        <v>#VALUE!</v>
      </c>
      <c r="L7" s="35" t="e">
        <f aca="false">L6+J7</f>
        <v>#VALUE!</v>
      </c>
      <c r="M7" s="35" t="e">
        <f aca="false">M6+H7</f>
        <v>#VALUE!</v>
      </c>
      <c r="O7" s="1" t="s">
        <v>242</v>
      </c>
      <c r="P7" s="28" t="n">
        <f aca="false">H7/G7</f>
        <v>39898</v>
      </c>
      <c r="Q7" s="1"/>
      <c r="R7" s="29" t="e">
        <f aca="false">R6+H7</f>
        <v>#VALUE!</v>
      </c>
    </row>
    <row r="8" customFormat="false" ht="13.8" hidden="false" customHeight="false" outlineLevel="0" collapsed="false">
      <c r="A8" s="1" t="s">
        <v>240</v>
      </c>
      <c r="B8" s="2" t="n">
        <v>45945</v>
      </c>
      <c r="C8" s="2" t="n">
        <v>45945</v>
      </c>
      <c r="D8" s="1"/>
      <c r="E8" s="2" t="n">
        <v>45976</v>
      </c>
      <c r="F8" s="5" t="n">
        <f aca="false">DAYS360(C8,E8)</f>
        <v>30</v>
      </c>
      <c r="G8" s="4" t="n">
        <v>1</v>
      </c>
      <c r="H8" s="38" t="n">
        <f aca="false">39325+573</f>
        <v>39898</v>
      </c>
      <c r="I8" s="35" t="n">
        <f aca="false">IF(H8&lt;0,H8,0)</f>
        <v>0</v>
      </c>
      <c r="J8" s="35" t="n">
        <f aca="false">IF(H8&gt;0,H8,0)</f>
        <v>39898</v>
      </c>
      <c r="K8" s="35" t="e">
        <f aca="false">K7+I8</f>
        <v>#VALUE!</v>
      </c>
      <c r="L8" s="35" t="e">
        <f aca="false">L7+J8</f>
        <v>#VALUE!</v>
      </c>
      <c r="M8" s="35" t="e">
        <f aca="false">M7+H8</f>
        <v>#VALUE!</v>
      </c>
      <c r="O8" s="1" t="s">
        <v>242</v>
      </c>
      <c r="P8" s="28" t="n">
        <f aca="false">H8/G8</f>
        <v>39898</v>
      </c>
      <c r="Q8" s="1" t="s">
        <v>244</v>
      </c>
      <c r="R8" s="29" t="e">
        <f aca="false">R7+H8</f>
        <v>#VALUE!</v>
      </c>
    </row>
    <row r="9" customFormat="false" ht="13.8" hidden="false" customHeight="false" outlineLevel="0" collapsed="false">
      <c r="A9" s="1" t="s">
        <v>240</v>
      </c>
      <c r="B9" s="2" t="n">
        <v>45960</v>
      </c>
      <c r="C9" s="2" t="n">
        <v>45960</v>
      </c>
      <c r="D9" s="1"/>
      <c r="E9" s="2" t="n">
        <v>45992</v>
      </c>
      <c r="F9" s="5" t="n">
        <f aca="false">DAYS360(C9,E9)</f>
        <v>31</v>
      </c>
      <c r="G9" s="4" t="n">
        <v>1</v>
      </c>
      <c r="H9" s="38" t="n">
        <v>39898.84</v>
      </c>
      <c r="I9" s="35" t="n">
        <f aca="false">IF(H9&lt;0,H9,0)</f>
        <v>0</v>
      </c>
      <c r="J9" s="35" t="n">
        <f aca="false">IF(H9&gt;0,H9,0)</f>
        <v>39898.84</v>
      </c>
      <c r="K9" s="35" t="e">
        <f aca="false">K8+I9</f>
        <v>#VALUE!</v>
      </c>
      <c r="L9" s="35" t="e">
        <f aca="false">L8+J9</f>
        <v>#VALUE!</v>
      </c>
      <c r="M9" s="35" t="e">
        <f aca="false">M8+H9</f>
        <v>#VALUE!</v>
      </c>
      <c r="O9" s="1" t="s">
        <v>242</v>
      </c>
      <c r="P9" s="28" t="n">
        <f aca="false">H9/G9</f>
        <v>39898.84</v>
      </c>
      <c r="Q9" s="1"/>
      <c r="R9" s="29" t="e">
        <f aca="false">R8+H9</f>
        <v>#VALUE!</v>
      </c>
    </row>
    <row r="10" customFormat="false" ht="13.8" hidden="false" customHeight="false" outlineLevel="0" collapsed="false">
      <c r="A10" s="1" t="s">
        <v>240</v>
      </c>
      <c r="B10" s="2" t="n">
        <v>45974</v>
      </c>
      <c r="C10" s="2" t="n">
        <v>45974</v>
      </c>
      <c r="D10" s="1"/>
      <c r="E10" s="2" t="n">
        <v>46006</v>
      </c>
      <c r="F10" s="5" t="n">
        <f aca="false">DAYS360(C10,E10)</f>
        <v>32</v>
      </c>
      <c r="G10" s="4" t="n">
        <v>1</v>
      </c>
      <c r="H10" s="38" t="n">
        <v>39898.84</v>
      </c>
      <c r="I10" s="35" t="n">
        <f aca="false">IF(H10&lt;0,H10,0)</f>
        <v>0</v>
      </c>
      <c r="J10" s="35" t="n">
        <f aca="false">IF(H10&gt;0,H10,0)</f>
        <v>39898.84</v>
      </c>
      <c r="K10" s="35" t="e">
        <f aca="false">K9+I10</f>
        <v>#VALUE!</v>
      </c>
      <c r="L10" s="35" t="e">
        <f aca="false">L9+J10</f>
        <v>#VALUE!</v>
      </c>
      <c r="M10" s="35" t="e">
        <f aca="false">M9+H10</f>
        <v>#VALUE!</v>
      </c>
      <c r="O10" s="1" t="s">
        <v>242</v>
      </c>
      <c r="P10" s="28" t="n">
        <f aca="false">H10/G10</f>
        <v>39898.84</v>
      </c>
      <c r="Q10" s="1"/>
      <c r="R10" s="29" t="e">
        <f aca="false">R9+H10</f>
        <v>#VALUE!</v>
      </c>
    </row>
    <row r="11" customFormat="false" ht="13.8" hidden="false" customHeight="false" outlineLevel="0" collapsed="false">
      <c r="A11" s="1" t="s">
        <v>196</v>
      </c>
      <c r="B11" s="2" t="s">
        <v>245</v>
      </c>
      <c r="C11" s="2" t="n">
        <v>45834</v>
      </c>
      <c r="D11" s="1"/>
      <c r="E11" s="2" t="n">
        <v>45874</v>
      </c>
      <c r="F11" s="5" t="n">
        <f aca="false">DAYS360(C11,E11)</f>
        <v>39</v>
      </c>
      <c r="G11" s="4" t="n">
        <v>2</v>
      </c>
      <c r="H11" s="38" t="n">
        <v>83528</v>
      </c>
      <c r="I11" s="35" t="n">
        <f aca="false">IF(H11&lt;0,H11,0)</f>
        <v>0</v>
      </c>
      <c r="J11" s="35" t="n">
        <f aca="false">IF(H11&gt;0,H11,0)</f>
        <v>83528</v>
      </c>
      <c r="K11" s="35" t="e">
        <f aca="false">K10+I11</f>
        <v>#VALUE!</v>
      </c>
      <c r="L11" s="35" t="e">
        <f aca="false">L10+J11</f>
        <v>#VALUE!</v>
      </c>
      <c r="M11" s="35" t="e">
        <f aca="false">M10+H11</f>
        <v>#VALUE!</v>
      </c>
      <c r="O11" s="1" t="s">
        <v>242</v>
      </c>
      <c r="P11" s="28" t="n">
        <f aca="false">H11/G11</f>
        <v>41764</v>
      </c>
      <c r="Q11" s="1"/>
      <c r="R11" s="29" t="e">
        <f aca="false">R10+H11</f>
        <v>#VALUE!</v>
      </c>
    </row>
    <row r="12" customFormat="false" ht="13.8" hidden="false" customHeight="false" outlineLevel="0" collapsed="false">
      <c r="A12" s="1" t="s">
        <v>196</v>
      </c>
      <c r="B12" s="2" t="s">
        <v>241</v>
      </c>
      <c r="C12" s="2" t="n">
        <v>45866</v>
      </c>
      <c r="D12" s="1"/>
      <c r="E12" s="2" t="n">
        <v>45878</v>
      </c>
      <c r="F12" s="5" t="n">
        <f aca="false">DAYS360(C12,E12)</f>
        <v>11</v>
      </c>
      <c r="G12" s="4" t="n">
        <v>2</v>
      </c>
      <c r="H12" s="38" t="n">
        <f aca="false">78489+1146</f>
        <v>79635</v>
      </c>
      <c r="I12" s="35" t="n">
        <f aca="false">IF(H12&lt;0,H12,0)</f>
        <v>0</v>
      </c>
      <c r="J12" s="35" t="n">
        <f aca="false">IF(H12&gt;0,H12,0)</f>
        <v>79635</v>
      </c>
      <c r="K12" s="35" t="e">
        <f aca="false">K11+I12</f>
        <v>#VALUE!</v>
      </c>
      <c r="L12" s="35" t="e">
        <f aca="false">L11+J12</f>
        <v>#VALUE!</v>
      </c>
      <c r="M12" s="35" t="e">
        <f aca="false">M11+H12</f>
        <v>#VALUE!</v>
      </c>
      <c r="O12" s="1" t="s">
        <v>242</v>
      </c>
      <c r="P12" s="28" t="n">
        <f aca="false">H12/G12</f>
        <v>39817.5</v>
      </c>
      <c r="Q12" s="1"/>
      <c r="R12" s="29" t="e">
        <f aca="false">R11+H12</f>
        <v>#VALUE!</v>
      </c>
    </row>
    <row r="13" customFormat="false" ht="13.8" hidden="false" customHeight="false" outlineLevel="0" collapsed="false">
      <c r="A13" s="1" t="s">
        <v>196</v>
      </c>
      <c r="B13" s="2" t="s">
        <v>246</v>
      </c>
      <c r="C13" s="2" t="n">
        <v>45806</v>
      </c>
      <c r="D13" s="1"/>
      <c r="E13" s="2" t="n">
        <v>45883</v>
      </c>
      <c r="F13" s="5" t="n">
        <f aca="false">DAYS360(C13,E13)</f>
        <v>75</v>
      </c>
      <c r="G13" s="4" t="n">
        <v>2</v>
      </c>
      <c r="H13" s="38" t="n">
        <v>78636</v>
      </c>
      <c r="I13" s="35" t="n">
        <f aca="false">IF(H13&lt;0,H13,0)</f>
        <v>0</v>
      </c>
      <c r="J13" s="35" t="n">
        <f aca="false">IF(H13&gt;0,H13,0)</f>
        <v>78636</v>
      </c>
      <c r="K13" s="35" t="e">
        <f aca="false">K12+I13</f>
        <v>#VALUE!</v>
      </c>
      <c r="L13" s="35" t="e">
        <f aca="false">L12+J13</f>
        <v>#VALUE!</v>
      </c>
      <c r="M13" s="35" t="e">
        <f aca="false">M12+H13</f>
        <v>#VALUE!</v>
      </c>
      <c r="O13" s="1" t="s">
        <v>242</v>
      </c>
      <c r="P13" s="28" t="n">
        <f aca="false">H13/G13</f>
        <v>39318</v>
      </c>
      <c r="Q13" s="1"/>
      <c r="R13" s="29" t="n">
        <f aca="false">H13</f>
        <v>78636</v>
      </c>
    </row>
    <row r="14" customFormat="false" ht="13.8" hidden="false" customHeight="false" outlineLevel="0" collapsed="false">
      <c r="A14" s="1" t="s">
        <v>196</v>
      </c>
      <c r="B14" s="2" t="n">
        <v>45909</v>
      </c>
      <c r="C14" s="2" t="n">
        <v>45909</v>
      </c>
      <c r="D14" s="1"/>
      <c r="E14" s="2" t="n">
        <v>45941</v>
      </c>
      <c r="F14" s="5" t="n">
        <f aca="false">DAYS360(C14,E14)</f>
        <v>32</v>
      </c>
      <c r="G14" s="4" t="n">
        <v>1</v>
      </c>
      <c r="H14" s="38" t="n">
        <f aca="false">458+37458</f>
        <v>37916</v>
      </c>
      <c r="I14" s="35" t="n">
        <f aca="false">IF(H14&lt;0,H14,0)</f>
        <v>0</v>
      </c>
      <c r="J14" s="35" t="n">
        <f aca="false">IF(H14&gt;0,H14,0)</f>
        <v>37916</v>
      </c>
      <c r="K14" s="35" t="e">
        <f aca="false">K13+I14</f>
        <v>#VALUE!</v>
      </c>
      <c r="L14" s="35" t="e">
        <f aca="false">L13+J14</f>
        <v>#VALUE!</v>
      </c>
      <c r="M14" s="35" t="e">
        <f aca="false">M13+H14</f>
        <v>#VALUE!</v>
      </c>
      <c r="O14" s="1" t="s">
        <v>242</v>
      </c>
      <c r="P14" s="28" t="n">
        <f aca="false">H14/G14</f>
        <v>37916</v>
      </c>
      <c r="Q14" s="1"/>
      <c r="R14" s="29" t="n">
        <f aca="false">R13+H14</f>
        <v>116552</v>
      </c>
    </row>
    <row r="15" customFormat="false" ht="13.8" hidden="false" customHeight="false" outlineLevel="0" collapsed="false">
      <c r="A15" s="1" t="s">
        <v>196</v>
      </c>
      <c r="B15" s="2" t="s">
        <v>247</v>
      </c>
      <c r="C15" s="2" t="n">
        <v>45894</v>
      </c>
      <c r="D15" s="1"/>
      <c r="E15" s="2" t="n">
        <v>45946</v>
      </c>
      <c r="F15" s="5" t="n">
        <f aca="false">DAYS360(C15,E15)</f>
        <v>51</v>
      </c>
      <c r="G15" s="4" t="n">
        <v>2</v>
      </c>
      <c r="H15" s="38" t="n">
        <f aca="false">916+78489</f>
        <v>79405</v>
      </c>
      <c r="I15" s="35" t="n">
        <f aca="false">IF(H15&lt;0,H15,0)</f>
        <v>0</v>
      </c>
      <c r="J15" s="35" t="n">
        <f aca="false">IF(H15&gt;0,H15,0)</f>
        <v>79405</v>
      </c>
      <c r="K15" s="35" t="e">
        <f aca="false">K14+I15</f>
        <v>#VALUE!</v>
      </c>
      <c r="L15" s="35" t="e">
        <f aca="false">L14+J15</f>
        <v>#VALUE!</v>
      </c>
      <c r="M15" s="35" t="e">
        <f aca="false">M14+H15</f>
        <v>#VALUE!</v>
      </c>
      <c r="O15" s="1" t="s">
        <v>242</v>
      </c>
      <c r="P15" s="28" t="n">
        <f aca="false">H15/G15</f>
        <v>39702.5</v>
      </c>
      <c r="Q15" s="28" t="s">
        <v>248</v>
      </c>
      <c r="R15" s="29" t="n">
        <f aca="false">R14+H15</f>
        <v>195957</v>
      </c>
    </row>
    <row r="16" customFormat="false" ht="13.8" hidden="false" customHeight="false" outlineLevel="0" collapsed="false">
      <c r="A16" s="1" t="s">
        <v>196</v>
      </c>
      <c r="B16" s="2" t="n">
        <v>45924</v>
      </c>
      <c r="C16" s="2" t="n">
        <v>45925</v>
      </c>
      <c r="D16" s="1"/>
      <c r="E16" s="2" t="n">
        <v>45953</v>
      </c>
      <c r="F16" s="5" t="n">
        <f aca="false">DAYS360(C16,E16)</f>
        <v>28</v>
      </c>
      <c r="G16" s="4" t="n">
        <v>1</v>
      </c>
      <c r="H16" s="38" t="n">
        <f aca="false">573+39325</f>
        <v>39898</v>
      </c>
      <c r="I16" s="35" t="n">
        <f aca="false">IF(H16&lt;0,H16,0)</f>
        <v>0</v>
      </c>
      <c r="J16" s="35" t="n">
        <f aca="false">IF(H16&gt;0,H16,0)</f>
        <v>39898</v>
      </c>
      <c r="K16" s="35" t="e">
        <f aca="false">K15+I16</f>
        <v>#VALUE!</v>
      </c>
      <c r="L16" s="35" t="e">
        <f aca="false">L15+J16</f>
        <v>#VALUE!</v>
      </c>
      <c r="M16" s="35" t="e">
        <f aca="false">M15+H16</f>
        <v>#VALUE!</v>
      </c>
      <c r="O16" s="1" t="s">
        <v>242</v>
      </c>
      <c r="P16" s="28" t="n">
        <f aca="false">H16/G16</f>
        <v>39898</v>
      </c>
      <c r="Q16" s="1"/>
      <c r="R16" s="29" t="n">
        <f aca="false">R15+H16</f>
        <v>235855</v>
      </c>
    </row>
    <row r="17" customFormat="false" ht="13.8" hidden="false" customHeight="false" outlineLevel="0" collapsed="false">
      <c r="A17" s="1" t="s">
        <v>196</v>
      </c>
      <c r="B17" s="2" t="n">
        <v>45938</v>
      </c>
      <c r="C17" s="2" t="n">
        <v>45938</v>
      </c>
      <c r="D17" s="1"/>
      <c r="E17" s="2" t="n">
        <v>45953</v>
      </c>
      <c r="F17" s="5" t="n">
        <f aca="false">DAYS360(C17,E17)</f>
        <v>15</v>
      </c>
      <c r="G17" s="4" t="n">
        <v>1</v>
      </c>
      <c r="H17" s="38" t="n">
        <f aca="false">573+39325</f>
        <v>39898</v>
      </c>
      <c r="I17" s="35" t="n">
        <f aca="false">IF(H17&lt;0,H17,0)</f>
        <v>0</v>
      </c>
      <c r="J17" s="35" t="n">
        <f aca="false">IF(H17&gt;0,H17,0)</f>
        <v>39898</v>
      </c>
      <c r="K17" s="35" t="e">
        <f aca="false">K16+I17</f>
        <v>#VALUE!</v>
      </c>
      <c r="L17" s="35" t="e">
        <f aca="false">L16+J17</f>
        <v>#VALUE!</v>
      </c>
      <c r="M17" s="35" t="e">
        <f aca="false">M16+H17</f>
        <v>#VALUE!</v>
      </c>
      <c r="O17" s="1" t="s">
        <v>242</v>
      </c>
      <c r="P17" s="28" t="n">
        <f aca="false">H17/G17</f>
        <v>39898</v>
      </c>
      <c r="Q17" s="1"/>
      <c r="R17" s="29" t="n">
        <f aca="false">R16+H17</f>
        <v>275753</v>
      </c>
    </row>
    <row r="18" customFormat="false" ht="13.8" hidden="false" customHeight="false" outlineLevel="0" collapsed="false">
      <c r="A18" s="1" t="s">
        <v>196</v>
      </c>
      <c r="B18" s="2" t="n">
        <v>45952</v>
      </c>
      <c r="C18" s="2" t="n">
        <v>45952</v>
      </c>
      <c r="D18" s="1"/>
      <c r="E18" s="2" t="n">
        <v>45967</v>
      </c>
      <c r="F18" s="5" t="n">
        <f aca="false">DAYS360(C18,E18)</f>
        <v>14</v>
      </c>
      <c r="G18" s="4" t="n">
        <v>1</v>
      </c>
      <c r="H18" s="38" t="n">
        <f aca="false">573+39325</f>
        <v>39898</v>
      </c>
      <c r="I18" s="35" t="n">
        <f aca="false">IF(H18&lt;0,H18,0)</f>
        <v>0</v>
      </c>
      <c r="J18" s="35" t="n">
        <f aca="false">IF(H18&gt;0,H18,0)</f>
        <v>39898</v>
      </c>
      <c r="K18" s="35" t="e">
        <f aca="false">K17+I18</f>
        <v>#VALUE!</v>
      </c>
      <c r="L18" s="35" t="e">
        <f aca="false">L17+J18</f>
        <v>#VALUE!</v>
      </c>
      <c r="M18" s="35" t="e">
        <f aca="false">M17+H18</f>
        <v>#VALUE!</v>
      </c>
      <c r="O18" s="1" t="s">
        <v>242</v>
      </c>
      <c r="P18" s="28" t="n">
        <f aca="false">H18/G18</f>
        <v>39898</v>
      </c>
      <c r="Q18" s="1"/>
      <c r="R18" s="29" t="n">
        <f aca="false">R17+H18</f>
        <v>315651</v>
      </c>
    </row>
    <row r="19" customFormat="false" ht="14.1" hidden="false" customHeight="false" outlineLevel="0" collapsed="false">
      <c r="A19" s="1" t="s">
        <v>196</v>
      </c>
      <c r="B19" s="2" t="n">
        <v>45966</v>
      </c>
      <c r="C19" s="2" t="n">
        <v>45966</v>
      </c>
      <c r="D19" s="1"/>
      <c r="E19" s="17" t="n">
        <v>45979</v>
      </c>
      <c r="F19" s="5" t="n">
        <f aca="false">DAYS360(C19,E19)</f>
        <v>13</v>
      </c>
      <c r="G19" s="4" t="n">
        <v>1</v>
      </c>
      <c r="H19" s="40" t="n">
        <v>39898.84</v>
      </c>
      <c r="I19" s="35" t="n">
        <f aca="false">IF(H19&lt;0,H19,0)</f>
        <v>0</v>
      </c>
      <c r="J19" s="35" t="n">
        <f aca="false">IF(H19&gt;0,H19,0)</f>
        <v>39898.84</v>
      </c>
      <c r="K19" s="35" t="e">
        <f aca="false">K18+I19</f>
        <v>#VALUE!</v>
      </c>
      <c r="L19" s="35" t="e">
        <f aca="false">L18+J19</f>
        <v>#VALUE!</v>
      </c>
      <c r="M19" s="35" t="e">
        <f aca="false">M18+H19</f>
        <v>#VALUE!</v>
      </c>
      <c r="O19" s="1" t="s">
        <v>242</v>
      </c>
      <c r="P19" s="28" t="n">
        <v>39898.84</v>
      </c>
      <c r="Q19" s="1"/>
      <c r="R19" s="29" t="n">
        <f aca="false">R18+H19</f>
        <v>355549.84</v>
      </c>
    </row>
    <row r="20" customFormat="false" ht="13.8" hidden="false" customHeight="false" outlineLevel="0" collapsed="false">
      <c r="A20" s="1" t="s">
        <v>196</v>
      </c>
      <c r="B20" s="2" t="n">
        <v>45980</v>
      </c>
      <c r="C20" s="2" t="n">
        <v>45980</v>
      </c>
      <c r="D20" s="1"/>
      <c r="E20" s="2" t="n">
        <v>45990</v>
      </c>
      <c r="F20" s="5" t="n">
        <f aca="false">DAYS360(C20,E20)</f>
        <v>10</v>
      </c>
      <c r="G20" s="4" t="n">
        <v>1</v>
      </c>
      <c r="H20" s="38" t="n">
        <f aca="false">39325+573</f>
        <v>39898</v>
      </c>
      <c r="I20" s="35" t="n">
        <f aca="false">IF(H20&lt;0,H20,0)</f>
        <v>0</v>
      </c>
      <c r="J20" s="35" t="n">
        <f aca="false">IF(H20&gt;0,H20,0)</f>
        <v>39898</v>
      </c>
      <c r="K20" s="35" t="e">
        <f aca="false">K19+I20</f>
        <v>#VALUE!</v>
      </c>
      <c r="L20" s="35" t="e">
        <f aca="false">L19+J20</f>
        <v>#VALUE!</v>
      </c>
      <c r="M20" s="35" t="e">
        <f aca="false">M19+H20</f>
        <v>#VALUE!</v>
      </c>
      <c r="O20" s="41" t="s">
        <v>242</v>
      </c>
      <c r="P20" s="28" t="n">
        <f aca="false">H20/G20</f>
        <v>39898</v>
      </c>
      <c r="Q20" s="1"/>
      <c r="R20" s="29" t="n">
        <f aca="false">R19+H20</f>
        <v>395447.84</v>
      </c>
    </row>
    <row r="21" customFormat="false" ht="13.8" hidden="false" customHeight="false" outlineLevel="0" collapsed="false">
      <c r="A21" s="1" t="s">
        <v>196</v>
      </c>
      <c r="B21" s="2" t="n">
        <v>45995</v>
      </c>
      <c r="C21" s="2" t="n">
        <v>45995</v>
      </c>
      <c r="D21" s="1"/>
      <c r="E21" s="2" t="n">
        <v>46007</v>
      </c>
      <c r="F21" s="5" t="n">
        <f aca="false">DAYS360(C21,E21)</f>
        <v>12</v>
      </c>
      <c r="G21" s="4" t="n">
        <v>1</v>
      </c>
      <c r="H21" s="38" t="n">
        <f aca="false">573+39325</f>
        <v>39898</v>
      </c>
      <c r="I21" s="35" t="n">
        <f aca="false">IF(H21&lt;0,H21,0)</f>
        <v>0</v>
      </c>
      <c r="J21" s="35" t="n">
        <f aca="false">IF(H21&gt;0,H21,0)</f>
        <v>39898</v>
      </c>
      <c r="K21" s="35" t="e">
        <f aca="false">K20+I21</f>
        <v>#VALUE!</v>
      </c>
      <c r="L21" s="35" t="e">
        <f aca="false">L20+J21</f>
        <v>#VALUE!</v>
      </c>
      <c r="M21" s="35" t="e">
        <f aca="false">M20+H21</f>
        <v>#VALUE!</v>
      </c>
      <c r="O21" s="1" t="s">
        <v>242</v>
      </c>
      <c r="P21" s="28" t="n">
        <f aca="false">H21/G21</f>
        <v>39898</v>
      </c>
      <c r="Q21" s="1"/>
      <c r="R21" s="29" t="n">
        <f aca="false">R20+H21</f>
        <v>435345.84</v>
      </c>
    </row>
    <row r="22" customFormat="false" ht="13.8" hidden="false" customHeight="false" outlineLevel="0" collapsed="false">
      <c r="A22" s="1" t="s">
        <v>196</v>
      </c>
      <c r="B22" s="2" t="n">
        <v>46009</v>
      </c>
      <c r="C22" s="2" t="n">
        <f aca="false">B22</f>
        <v>46009</v>
      </c>
      <c r="D22" s="1"/>
      <c r="E22" s="2" t="n">
        <v>46029</v>
      </c>
      <c r="F22" s="5" t="n">
        <f aca="false">DAYS360(C22,E22)</f>
        <v>19</v>
      </c>
      <c r="G22" s="4" t="n">
        <v>1</v>
      </c>
      <c r="H22" s="35" t="n">
        <f aca="false">39325</f>
        <v>39325</v>
      </c>
      <c r="I22" s="35" t="n">
        <f aca="false">IF(H22&lt;0,H22,0)</f>
        <v>0</v>
      </c>
      <c r="J22" s="35" t="n">
        <f aca="false">IF(H22&gt;0,H22,0)</f>
        <v>39325</v>
      </c>
      <c r="K22" s="35" t="e">
        <f aca="false">K21+I22</f>
        <v>#VALUE!</v>
      </c>
      <c r="L22" s="35" t="e">
        <f aca="false">L21+J22</f>
        <v>#VALUE!</v>
      </c>
      <c r="M22" s="35" t="e">
        <f aca="false">M21+H22</f>
        <v>#VALUE!</v>
      </c>
      <c r="O22" s="1" t="s">
        <v>242</v>
      </c>
      <c r="P22" s="28" t="n">
        <f aca="false">H22/G22</f>
        <v>39325</v>
      </c>
      <c r="Q22" s="1"/>
      <c r="R22" s="29" t="n">
        <f aca="false">R21+H22</f>
        <v>474670.84</v>
      </c>
    </row>
    <row r="23" customFormat="false" ht="13.8" hidden="false" customHeight="false" outlineLevel="0" collapsed="false">
      <c r="A23" s="1" t="s">
        <v>196</v>
      </c>
      <c r="B23" s="33" t="n">
        <v>46027</v>
      </c>
      <c r="C23" s="33" t="n">
        <v>46027</v>
      </c>
      <c r="D23" s="1"/>
      <c r="E23" s="17" t="n">
        <v>46037</v>
      </c>
      <c r="F23" s="5" t="n">
        <f aca="false">DAYS360(C23,E23)</f>
        <v>10</v>
      </c>
      <c r="G23" s="4" t="n">
        <v>1</v>
      </c>
      <c r="H23" s="35" t="n">
        <v>35398.84</v>
      </c>
      <c r="I23" s="35" t="n">
        <f aca="false">IF(H23&lt;0,H23,0)</f>
        <v>0</v>
      </c>
      <c r="J23" s="35" t="n">
        <f aca="false">IF(H23&gt;0,H23,0)</f>
        <v>35398.84</v>
      </c>
      <c r="K23" s="35" t="e">
        <f aca="false">K22+I23</f>
        <v>#VALUE!</v>
      </c>
      <c r="L23" s="35" t="e">
        <f aca="false">L22+J23</f>
        <v>#VALUE!</v>
      </c>
      <c r="M23" s="35" t="e">
        <f aca="false">M22+H23</f>
        <v>#VALUE!</v>
      </c>
      <c r="O23" s="1" t="s">
        <v>242</v>
      </c>
      <c r="P23" s="28" t="n">
        <f aca="false">H23/G23</f>
        <v>35398.84</v>
      </c>
      <c r="Q23" s="28"/>
      <c r="R23" s="29" t="n">
        <f aca="false">R22+H23</f>
        <v>510069.68</v>
      </c>
    </row>
    <row r="24" customFormat="false" ht="13.8" hidden="false" customHeight="false" outlineLevel="0" collapsed="false">
      <c r="A24" s="1" t="s">
        <v>196</v>
      </c>
      <c r="B24" s="33" t="n">
        <v>46041</v>
      </c>
      <c r="C24" s="33" t="n">
        <v>46041</v>
      </c>
      <c r="D24" s="1"/>
      <c r="E24" s="2" t="s">
        <v>162</v>
      </c>
      <c r="F24" s="5"/>
      <c r="G24" s="4" t="n">
        <v>1</v>
      </c>
      <c r="H24" s="1"/>
      <c r="I24" s="1"/>
      <c r="J24" s="1"/>
      <c r="K24" s="1"/>
      <c r="L24" s="1"/>
      <c r="M24" s="1"/>
      <c r="N24" s="1"/>
      <c r="P24" s="28"/>
      <c r="Q24" s="28"/>
      <c r="R24" s="29"/>
    </row>
    <row r="25" customFormat="false" ht="13.8" hidden="false" customHeight="false" outlineLevel="0" collapsed="false">
      <c r="A25" s="13" t="s">
        <v>192</v>
      </c>
      <c r="B25" s="33" t="n">
        <v>46023</v>
      </c>
      <c r="C25" s="33" t="n">
        <v>46023</v>
      </c>
      <c r="D25" s="1"/>
      <c r="E25" s="2" t="s">
        <v>162</v>
      </c>
      <c r="F25" s="1"/>
      <c r="G25" s="4" t="n">
        <v>1</v>
      </c>
      <c r="H25" s="1"/>
      <c r="I25" s="28"/>
      <c r="J25" s="28"/>
      <c r="K25" s="28"/>
      <c r="L25" s="28"/>
      <c r="M25" s="28"/>
      <c r="N25" s="28"/>
      <c r="P25" s="28"/>
      <c r="Q25" s="1"/>
      <c r="R25" s="1"/>
    </row>
    <row r="26" customFormat="false" ht="13.8" hidden="false" customHeight="false" outlineLevel="0" collapsed="false">
      <c r="A26" s="1" t="s">
        <v>118</v>
      </c>
      <c r="B26" s="2" t="n">
        <v>46000</v>
      </c>
      <c r="C26" s="2" t="n">
        <f aca="false">B26</f>
        <v>46000</v>
      </c>
      <c r="D26" s="1"/>
      <c r="E26" s="2" t="n">
        <v>46024</v>
      </c>
      <c r="F26" s="5" t="n">
        <f aca="false">DAYS360(C26,E26)</f>
        <v>23</v>
      </c>
      <c r="G26" s="4" t="n">
        <v>1</v>
      </c>
      <c r="H26" s="35" t="n">
        <v>31807.83</v>
      </c>
      <c r="I26" s="35" t="n">
        <f aca="false">IF(H26&lt;0,H26,0)</f>
        <v>0</v>
      </c>
      <c r="J26" s="35" t="n">
        <f aca="false">IF(H26&gt;0,H26,0)</f>
        <v>31807.83</v>
      </c>
      <c r="K26" s="35" t="n">
        <f aca="false">K25+I26</f>
        <v>0</v>
      </c>
      <c r="L26" s="35" t="n">
        <f aca="false">L25+J26</f>
        <v>31807.83</v>
      </c>
      <c r="M26" s="35" t="n">
        <f aca="false">M25+H26</f>
        <v>31807.83</v>
      </c>
      <c r="P26" s="28"/>
      <c r="Q26" s="28" t="s">
        <v>164</v>
      </c>
      <c r="R26" s="29" t="n">
        <f aca="false">R25+H26</f>
        <v>31807.83</v>
      </c>
    </row>
    <row r="27" customFormat="false" ht="13.8" hidden="false" customHeight="false" outlineLevel="0" collapsed="false">
      <c r="A27" s="1" t="s">
        <v>118</v>
      </c>
      <c r="B27" s="2" t="n">
        <v>46014</v>
      </c>
      <c r="C27" s="2" t="n">
        <f aca="false">B27</f>
        <v>46014</v>
      </c>
      <c r="D27" s="1"/>
      <c r="E27" s="2" t="n">
        <v>46038</v>
      </c>
      <c r="F27" s="5" t="n">
        <f aca="false">DAYS360(C27,E27)</f>
        <v>23</v>
      </c>
      <c r="G27" s="4" t="n">
        <v>1</v>
      </c>
      <c r="H27" s="35" t="n">
        <v>31807.83</v>
      </c>
      <c r="I27" s="35" t="n">
        <f aca="false">IF(H27&lt;0,H27,0)</f>
        <v>0</v>
      </c>
      <c r="J27" s="35" t="n">
        <f aca="false">IF(H27&gt;0,H27,0)</f>
        <v>31807.83</v>
      </c>
      <c r="K27" s="35" t="n">
        <f aca="false">K26+I27</f>
        <v>0</v>
      </c>
      <c r="L27" s="35" t="n">
        <f aca="false">L26+J27</f>
        <v>63615.66</v>
      </c>
      <c r="M27" s="35" t="n">
        <f aca="false">M26+H27</f>
        <v>63615.66</v>
      </c>
      <c r="P27" s="28"/>
      <c r="Q27" s="28" t="s">
        <v>164</v>
      </c>
      <c r="R27" s="29" t="n">
        <f aca="false">R26+H27</f>
        <v>63615.66</v>
      </c>
    </row>
    <row r="28" customFormat="false" ht="13.8" hidden="false" customHeight="false" outlineLevel="0" collapsed="false">
      <c r="A28" s="13" t="s">
        <v>118</v>
      </c>
      <c r="B28" s="33" t="n">
        <v>46028</v>
      </c>
      <c r="C28" s="33" t="n">
        <v>46028</v>
      </c>
      <c r="D28" s="1"/>
      <c r="E28" s="2" t="s">
        <v>162</v>
      </c>
      <c r="F28" s="1"/>
      <c r="G28" s="4" t="n">
        <v>1</v>
      </c>
      <c r="H28" s="1"/>
      <c r="I28" s="28"/>
      <c r="J28" s="28"/>
      <c r="K28" s="28"/>
      <c r="L28" s="28"/>
      <c r="M28" s="28"/>
      <c r="N28" s="28"/>
      <c r="P28" s="28"/>
      <c r="Q28" s="1"/>
      <c r="R28" s="1"/>
    </row>
    <row r="29" customFormat="false" ht="12.8" hidden="false" customHeight="true" outlineLevel="0" collapsed="false">
      <c r="A29" s="13" t="s">
        <v>118</v>
      </c>
      <c r="B29" s="33" t="n">
        <v>46042</v>
      </c>
      <c r="C29" s="33" t="n">
        <v>46042</v>
      </c>
      <c r="D29" s="1"/>
      <c r="E29" s="2" t="s">
        <v>162</v>
      </c>
      <c r="F29" s="1"/>
      <c r="G29" s="4" t="n">
        <v>1</v>
      </c>
      <c r="H29" s="1"/>
      <c r="I29" s="28"/>
      <c r="J29" s="28"/>
      <c r="K29" s="28"/>
      <c r="L29" s="28"/>
      <c r="M29" s="28"/>
      <c r="N29" s="28"/>
      <c r="P29" s="28"/>
      <c r="Q29" s="1"/>
      <c r="R29" s="1"/>
    </row>
    <row r="30" customFormat="false" ht="13.8" hidden="false" customHeight="false" outlineLevel="0" collapsed="false">
      <c r="A30" s="1" t="s">
        <v>165</v>
      </c>
      <c r="B30" s="2" t="n">
        <v>45873</v>
      </c>
      <c r="C30" s="2" t="n">
        <v>45873</v>
      </c>
      <c r="D30" s="1"/>
      <c r="E30" s="2" t="n">
        <v>45919</v>
      </c>
      <c r="F30" s="5" t="n">
        <f aca="false">DAYS360(C30,E30)</f>
        <v>45</v>
      </c>
      <c r="G30" s="4" t="n">
        <v>1</v>
      </c>
      <c r="H30" s="38" t="n">
        <v>67945</v>
      </c>
      <c r="I30" s="35" t="n">
        <f aca="false">IF(H30&lt;0,H30,0)</f>
        <v>0</v>
      </c>
      <c r="J30" s="35" t="n">
        <f aca="false">IF(H30&gt;0,H30,0)</f>
        <v>67945</v>
      </c>
      <c r="K30" s="35" t="n">
        <f aca="false">K29+I30</f>
        <v>0</v>
      </c>
      <c r="L30" s="35" t="n">
        <f aca="false">L29+J30</f>
        <v>67945</v>
      </c>
      <c r="M30" s="35" t="n">
        <f aca="false">M29+H30</f>
        <v>67945</v>
      </c>
      <c r="O30" s="1" t="s">
        <v>249</v>
      </c>
      <c r="P30" s="28" t="n">
        <f aca="false">H30/G30</f>
        <v>67945</v>
      </c>
      <c r="Q30" s="1"/>
      <c r="R30" s="29" t="n">
        <f aca="false">R29+H30</f>
        <v>67945</v>
      </c>
    </row>
    <row r="31" customFormat="false" ht="13.8" hidden="false" customHeight="false" outlineLevel="0" collapsed="false">
      <c r="A31" s="1" t="s">
        <v>165</v>
      </c>
      <c r="B31" s="2" t="n">
        <v>45855</v>
      </c>
      <c r="C31" s="2" t="n">
        <v>45855</v>
      </c>
      <c r="D31" s="1"/>
      <c r="E31" s="2" t="n">
        <v>45925</v>
      </c>
      <c r="F31" s="5" t="n">
        <f aca="false">DAYS360(C31,E31)</f>
        <v>68</v>
      </c>
      <c r="G31" s="4" t="n">
        <v>1</v>
      </c>
      <c r="H31" s="38" t="n">
        <v>42264.6</v>
      </c>
      <c r="I31" s="35" t="n">
        <f aca="false">IF(H31&lt;0,H31,0)</f>
        <v>0</v>
      </c>
      <c r="J31" s="35" t="n">
        <f aca="false">IF(H31&gt;0,H31,0)</f>
        <v>42264.6</v>
      </c>
      <c r="K31" s="35" t="n">
        <f aca="false">K30+I31</f>
        <v>0</v>
      </c>
      <c r="L31" s="35" t="n">
        <f aca="false">L30+J31</f>
        <v>110209.6</v>
      </c>
      <c r="M31" s="35" t="n">
        <f aca="false">M30+H31</f>
        <v>110209.6</v>
      </c>
      <c r="O31" s="1" t="s">
        <v>249</v>
      </c>
      <c r="P31" s="28" t="n">
        <f aca="false">H31/G31</f>
        <v>42264.6</v>
      </c>
      <c r="Q31" s="1"/>
      <c r="R31" s="29" t="n">
        <f aca="false">R30+H31</f>
        <v>110209.6</v>
      </c>
    </row>
    <row r="32" customFormat="false" ht="13.8" hidden="false" customHeight="false" outlineLevel="0" collapsed="false">
      <c r="A32" s="1" t="s">
        <v>165</v>
      </c>
      <c r="B32" s="2" t="n">
        <v>45887</v>
      </c>
      <c r="C32" s="2" t="n">
        <v>45887</v>
      </c>
      <c r="D32" s="1"/>
      <c r="E32" s="2" t="n">
        <v>45926</v>
      </c>
      <c r="F32" s="5" t="n">
        <f aca="false">DAYS360(C32,E32)</f>
        <v>38</v>
      </c>
      <c r="G32" s="4" t="n">
        <v>1</v>
      </c>
      <c r="H32" s="38" t="n">
        <f aca="false">39244+3010</f>
        <v>42254</v>
      </c>
      <c r="I32" s="35" t="n">
        <f aca="false">IF(H32&lt;0,H32,0)</f>
        <v>0</v>
      </c>
      <c r="J32" s="35" t="n">
        <f aca="false">IF(H32&gt;0,H32,0)</f>
        <v>42254</v>
      </c>
      <c r="K32" s="35" t="n">
        <f aca="false">K31+I32</f>
        <v>0</v>
      </c>
      <c r="L32" s="35" t="n">
        <f aca="false">L31+J32</f>
        <v>152463.6</v>
      </c>
      <c r="M32" s="35" t="n">
        <f aca="false">M31+H32</f>
        <v>152463.6</v>
      </c>
      <c r="O32" s="1" t="s">
        <v>249</v>
      </c>
      <c r="P32" s="28" t="n">
        <f aca="false">H32/G32</f>
        <v>42254</v>
      </c>
      <c r="Q32" s="1"/>
      <c r="R32" s="29" t="n">
        <f aca="false">R31+H32</f>
        <v>152463.6</v>
      </c>
    </row>
    <row r="33" customFormat="false" ht="13.8" hidden="false" customHeight="false" outlineLevel="0" collapsed="false">
      <c r="A33" s="1" t="s">
        <v>165</v>
      </c>
      <c r="B33" s="2" t="n">
        <v>45909</v>
      </c>
      <c r="C33" s="2" t="n">
        <v>45909</v>
      </c>
      <c r="D33" s="1"/>
      <c r="E33" s="2" t="n">
        <v>45957</v>
      </c>
      <c r="F33" s="5" t="n">
        <f aca="false">DAYS360(C33,E33)</f>
        <v>48</v>
      </c>
      <c r="G33" s="4" t="n">
        <v>1</v>
      </c>
      <c r="H33" s="38" t="n">
        <f aca="false">39325+3004</f>
        <v>42329</v>
      </c>
      <c r="I33" s="35" t="n">
        <f aca="false">IF(H33&lt;0,H33,0)</f>
        <v>0</v>
      </c>
      <c r="J33" s="35" t="n">
        <f aca="false">IF(H33&gt;0,H33,0)</f>
        <v>42329</v>
      </c>
      <c r="K33" s="35" t="n">
        <f aca="false">K32+I33</f>
        <v>0</v>
      </c>
      <c r="L33" s="35" t="n">
        <f aca="false">L32+J33</f>
        <v>194792.6</v>
      </c>
      <c r="M33" s="35" t="n">
        <f aca="false">M32+H33</f>
        <v>194792.6</v>
      </c>
      <c r="O33" s="1" t="s">
        <v>249</v>
      </c>
      <c r="P33" s="28" t="n">
        <f aca="false">H33/G33</f>
        <v>42329</v>
      </c>
      <c r="Q33" s="1"/>
      <c r="R33" s="29" t="n">
        <f aca="false">R32+H33</f>
        <v>194792.6</v>
      </c>
    </row>
    <row r="34" customFormat="false" ht="13.8" hidden="false" customHeight="false" outlineLevel="0" collapsed="false">
      <c r="A34" s="1" t="s">
        <v>165</v>
      </c>
      <c r="B34" s="2" t="n">
        <v>45929</v>
      </c>
      <c r="C34" s="2" t="n">
        <v>45929</v>
      </c>
      <c r="D34" s="1"/>
      <c r="E34" s="2" t="n">
        <v>45967</v>
      </c>
      <c r="F34" s="5" t="n">
        <f aca="false">DAYS360(C34,E34)</f>
        <v>37</v>
      </c>
      <c r="G34" s="4" t="n">
        <v>1</v>
      </c>
      <c r="H34" s="38" t="n">
        <f aca="false">39325+3004</f>
        <v>42329</v>
      </c>
      <c r="I34" s="35" t="n">
        <f aca="false">IF(H34&lt;0,H34,0)</f>
        <v>0</v>
      </c>
      <c r="J34" s="35" t="n">
        <f aca="false">IF(H34&gt;0,H34,0)</f>
        <v>42329</v>
      </c>
      <c r="K34" s="35" t="n">
        <f aca="false">K33+I34</f>
        <v>0</v>
      </c>
      <c r="L34" s="35" t="n">
        <f aca="false">L33+J34</f>
        <v>237121.6</v>
      </c>
      <c r="M34" s="35" t="n">
        <f aca="false">M33+H34</f>
        <v>237121.6</v>
      </c>
      <c r="O34" s="1" t="s">
        <v>249</v>
      </c>
      <c r="P34" s="28" t="n">
        <f aca="false">H34/G34</f>
        <v>42329</v>
      </c>
      <c r="Q34" s="1"/>
      <c r="R34" s="29" t="n">
        <f aca="false">R33+H34</f>
        <v>237121.6</v>
      </c>
    </row>
    <row r="35" customFormat="false" ht="13.8" hidden="false" customHeight="false" outlineLevel="0" collapsed="false">
      <c r="A35" s="1" t="s">
        <v>165</v>
      </c>
      <c r="B35" s="2" t="n">
        <v>45944</v>
      </c>
      <c r="C35" s="2" t="n">
        <v>45944</v>
      </c>
      <c r="D35" s="1"/>
      <c r="E35" s="2" t="n">
        <v>45968</v>
      </c>
      <c r="F35" s="5" t="n">
        <f aca="false">DAYS360(C35,E35)</f>
        <v>23</v>
      </c>
      <c r="G35" s="4" t="n">
        <v>1</v>
      </c>
      <c r="H35" s="38" t="n">
        <f aca="false">39325+3004</f>
        <v>42329</v>
      </c>
      <c r="I35" s="35" t="n">
        <f aca="false">IF(H35&lt;0,H35,0)</f>
        <v>0</v>
      </c>
      <c r="J35" s="35" t="n">
        <f aca="false">IF(H35&gt;0,H35,0)</f>
        <v>42329</v>
      </c>
      <c r="K35" s="35" t="n">
        <f aca="false">K34+I35</f>
        <v>0</v>
      </c>
      <c r="L35" s="35" t="n">
        <f aca="false">L34+J35</f>
        <v>279450.6</v>
      </c>
      <c r="M35" s="35" t="n">
        <f aca="false">M34+H35</f>
        <v>279450.6</v>
      </c>
      <c r="O35" s="1" t="s">
        <v>249</v>
      </c>
      <c r="P35" s="28" t="n">
        <f aca="false">H35/G35</f>
        <v>42329</v>
      </c>
      <c r="Q35" s="1"/>
      <c r="R35" s="29" t="n">
        <f aca="false">R34+H35</f>
        <v>279450.6</v>
      </c>
    </row>
    <row r="36" customFormat="false" ht="13.8" hidden="false" customHeight="false" outlineLevel="0" collapsed="false">
      <c r="A36" s="1" t="s">
        <v>165</v>
      </c>
      <c r="B36" s="2" t="n">
        <v>45965</v>
      </c>
      <c r="C36" s="2" t="n">
        <v>45965</v>
      </c>
      <c r="D36" s="1"/>
      <c r="E36" s="2" t="n">
        <v>45996</v>
      </c>
      <c r="F36" s="5" t="n">
        <f aca="false">DAYS360(C36,E36)</f>
        <v>31</v>
      </c>
      <c r="G36" s="4" t="n">
        <v>1</v>
      </c>
      <c r="H36" s="38" t="n">
        <v>42330.6</v>
      </c>
      <c r="I36" s="35" t="n">
        <f aca="false">IF(H36&lt;0,H36,0)</f>
        <v>0</v>
      </c>
      <c r="J36" s="35" t="n">
        <f aca="false">IF(H36&gt;0,H36,0)</f>
        <v>42330.6</v>
      </c>
      <c r="K36" s="35" t="n">
        <f aca="false">K35+I36</f>
        <v>0</v>
      </c>
      <c r="L36" s="35" t="n">
        <f aca="false">L35+J36</f>
        <v>321781.2</v>
      </c>
      <c r="M36" s="35" t="n">
        <f aca="false">M35+H36</f>
        <v>321781.2</v>
      </c>
      <c r="O36" s="1" t="s">
        <v>249</v>
      </c>
      <c r="P36" s="28" t="n">
        <f aca="false">H36/G36</f>
        <v>42330.6</v>
      </c>
      <c r="Q36" s="28"/>
      <c r="R36" s="29" t="n">
        <f aca="false">R35+H36</f>
        <v>321781.2</v>
      </c>
    </row>
    <row r="37" customFormat="false" ht="13.8" hidden="false" customHeight="false" outlineLevel="0" collapsed="false">
      <c r="A37" s="1" t="s">
        <v>165</v>
      </c>
      <c r="B37" s="2" t="n">
        <v>45985</v>
      </c>
      <c r="C37" s="2" t="n">
        <v>45985</v>
      </c>
      <c r="D37" s="1"/>
      <c r="E37" s="2" t="n">
        <v>46003</v>
      </c>
      <c r="F37" s="5" t="n">
        <f aca="false">DAYS360(C37,E37)</f>
        <v>18</v>
      </c>
      <c r="G37" s="4" t="n">
        <v>1</v>
      </c>
      <c r="H37" s="38" t="n">
        <f aca="false">39325+3004</f>
        <v>42329</v>
      </c>
      <c r="I37" s="35" t="n">
        <f aca="false">IF(H37&lt;0,H37,0)</f>
        <v>0</v>
      </c>
      <c r="J37" s="35" t="n">
        <f aca="false">IF(H37&gt;0,H37,0)</f>
        <v>42329</v>
      </c>
      <c r="K37" s="35" t="n">
        <f aca="false">K36+I37</f>
        <v>0</v>
      </c>
      <c r="L37" s="35" t="n">
        <f aca="false">L36+J37</f>
        <v>364110.2</v>
      </c>
      <c r="M37" s="35" t="n">
        <f aca="false">M36+H37</f>
        <v>364110.2</v>
      </c>
      <c r="O37" s="1" t="s">
        <v>249</v>
      </c>
      <c r="P37" s="28" t="n">
        <f aca="false">H37/G37</f>
        <v>42329</v>
      </c>
      <c r="Q37" s="1"/>
      <c r="R37" s="29" t="n">
        <f aca="false">R36+H37</f>
        <v>364110.2</v>
      </c>
    </row>
    <row r="38" customFormat="false" ht="13.8" hidden="false" customHeight="false" outlineLevel="0" collapsed="false">
      <c r="A38" s="1" t="s">
        <v>165</v>
      </c>
      <c r="B38" s="2" t="n">
        <v>45999</v>
      </c>
      <c r="C38" s="2" t="n">
        <v>45999</v>
      </c>
      <c r="D38" s="1"/>
      <c r="E38" s="2" t="n">
        <v>46027</v>
      </c>
      <c r="F38" s="5" t="n">
        <f aca="false">DAYS360(C38,E38)</f>
        <v>27</v>
      </c>
      <c r="G38" s="4" t="n">
        <v>1</v>
      </c>
      <c r="H38" s="38" t="n">
        <v>41141.3</v>
      </c>
      <c r="I38" s="35" t="n">
        <f aca="false">IF(H38&lt;0,H38,0)</f>
        <v>0</v>
      </c>
      <c r="J38" s="35" t="n">
        <f aca="false">IF(H38&gt;0,H38,0)</f>
        <v>41141.3</v>
      </c>
      <c r="K38" s="35" t="n">
        <f aca="false">K37+I38</f>
        <v>0</v>
      </c>
      <c r="L38" s="35" t="n">
        <f aca="false">L37+J38</f>
        <v>405251.5</v>
      </c>
      <c r="M38" s="35" t="n">
        <f aca="false">M37+H38</f>
        <v>405251.5</v>
      </c>
      <c r="O38" s="1" t="s">
        <v>249</v>
      </c>
      <c r="P38" s="28" t="n">
        <f aca="false">H38/G38</f>
        <v>41141.3</v>
      </c>
      <c r="Q38" s="1"/>
      <c r="R38" s="29" t="n">
        <f aca="false">R37+H38</f>
        <v>405251.5</v>
      </c>
    </row>
    <row r="39" customFormat="false" ht="13.8" hidden="false" customHeight="false" outlineLevel="0" collapsed="false">
      <c r="A39" s="1" t="s">
        <v>165</v>
      </c>
      <c r="B39" s="2" t="n">
        <v>46021</v>
      </c>
      <c r="C39" s="2" t="n">
        <f aca="false">B39</f>
        <v>46021</v>
      </c>
      <c r="D39" s="1"/>
      <c r="E39" s="2" t="s">
        <v>162</v>
      </c>
      <c r="F39" s="5"/>
      <c r="G39" s="4" t="n">
        <v>1</v>
      </c>
      <c r="H39" s="1"/>
      <c r="I39" s="1"/>
      <c r="J39" s="1"/>
      <c r="K39" s="1"/>
      <c r="L39" s="1"/>
      <c r="M39" s="1"/>
      <c r="N39" s="1"/>
      <c r="P39" s="28"/>
      <c r="Q39" s="28" t="s">
        <v>164</v>
      </c>
      <c r="R39" s="29" t="n">
        <f aca="false">R38+H39</f>
        <v>405251.5</v>
      </c>
    </row>
    <row r="40" customFormat="false" ht="13.8" hidden="false" customHeight="false" outlineLevel="0" collapsed="false">
      <c r="A40" s="13" t="s">
        <v>37</v>
      </c>
      <c r="B40" s="33" t="n">
        <v>46042</v>
      </c>
      <c r="C40" s="33" t="n">
        <v>46042</v>
      </c>
      <c r="D40" s="1"/>
      <c r="E40" s="2" t="s">
        <v>162</v>
      </c>
      <c r="F40" s="1"/>
      <c r="G40" s="4" t="n">
        <v>1</v>
      </c>
      <c r="H40" s="1"/>
      <c r="I40" s="28"/>
      <c r="J40" s="28"/>
      <c r="K40" s="28"/>
      <c r="L40" s="28"/>
      <c r="M40" s="28"/>
      <c r="N40" s="28"/>
      <c r="P40" s="28"/>
      <c r="Q40" s="1"/>
      <c r="R40" s="1"/>
    </row>
    <row r="41" customFormat="false" ht="13.8" hidden="false" customHeight="false" outlineLevel="0" collapsed="false">
      <c r="A41" s="13" t="s">
        <v>37</v>
      </c>
      <c r="B41" s="33" t="n">
        <v>46056</v>
      </c>
      <c r="C41" s="33" t="n">
        <v>46056</v>
      </c>
      <c r="D41" s="1"/>
      <c r="E41" s="2" t="s">
        <v>162</v>
      </c>
      <c r="F41" s="1"/>
      <c r="G41" s="4" t="n">
        <v>1</v>
      </c>
      <c r="H41" s="28"/>
      <c r="I41" s="28"/>
      <c r="J41" s="28"/>
      <c r="K41" s="28"/>
      <c r="L41" s="28"/>
      <c r="M41" s="28"/>
      <c r="N41" s="28"/>
      <c r="P41" s="28"/>
      <c r="Q41" s="1"/>
      <c r="R41" s="1"/>
    </row>
    <row r="42" customFormat="false" ht="13.8" hidden="false" customHeight="false" outlineLevel="0" collapsed="false">
      <c r="A42" s="1" t="s">
        <v>250</v>
      </c>
      <c r="B42" s="2" t="n">
        <v>45825</v>
      </c>
      <c r="C42" s="2" t="n">
        <v>45825</v>
      </c>
      <c r="D42" s="1"/>
      <c r="E42" s="2" t="n">
        <v>45855</v>
      </c>
      <c r="F42" s="5" t="n">
        <f aca="false">DAYS360(C42,E42)</f>
        <v>30</v>
      </c>
      <c r="G42" s="4" t="n">
        <v>1</v>
      </c>
      <c r="H42" s="38" t="n">
        <v>22361</v>
      </c>
      <c r="I42" s="35" t="n">
        <f aca="false">IF(H42&lt;0,H42,0)</f>
        <v>0</v>
      </c>
      <c r="J42" s="35" t="n">
        <f aca="false">IF(H42&gt;0,H42,0)</f>
        <v>22361</v>
      </c>
      <c r="K42" s="35" t="n">
        <f aca="false">K41+I42</f>
        <v>0</v>
      </c>
      <c r="L42" s="35" t="n">
        <f aca="false">L41+J42</f>
        <v>22361</v>
      </c>
      <c r="M42" s="35" t="n">
        <f aca="false">M41+H42</f>
        <v>22361</v>
      </c>
      <c r="O42" s="1" t="s">
        <v>251</v>
      </c>
      <c r="P42" s="28" t="n">
        <f aca="false">H42/G42</f>
        <v>22361</v>
      </c>
      <c r="Q42" s="1" t="s">
        <v>252</v>
      </c>
      <c r="R42" s="29" t="n">
        <f aca="false">R41+H42</f>
        <v>22361</v>
      </c>
    </row>
    <row r="43" customFormat="false" ht="13.8" hidden="false" customHeight="false" outlineLevel="0" collapsed="false">
      <c r="A43" s="1" t="s">
        <v>250</v>
      </c>
      <c r="B43" s="2" t="n">
        <v>45839</v>
      </c>
      <c r="C43" s="2" t="n">
        <v>45867</v>
      </c>
      <c r="D43" s="1"/>
      <c r="E43" s="2" t="n">
        <v>45912</v>
      </c>
      <c r="F43" s="5" t="n">
        <f aca="false">DAYS360(C43,E43)</f>
        <v>43</v>
      </c>
      <c r="G43" s="4" t="n">
        <v>3</v>
      </c>
      <c r="H43" s="38" t="n">
        <v>85695.35</v>
      </c>
      <c r="I43" s="35" t="n">
        <f aca="false">IF(H43&lt;0,H43,0)</f>
        <v>0</v>
      </c>
      <c r="J43" s="35" t="n">
        <f aca="false">IF(H43&gt;0,H43,0)</f>
        <v>85695.35</v>
      </c>
      <c r="K43" s="35" t="n">
        <f aca="false">K42+I43</f>
        <v>0</v>
      </c>
      <c r="L43" s="35" t="n">
        <f aca="false">L42+J43</f>
        <v>108056.35</v>
      </c>
      <c r="M43" s="35" t="n">
        <f aca="false">M42+H43</f>
        <v>108056.35</v>
      </c>
      <c r="O43" s="1" t="s">
        <v>251</v>
      </c>
      <c r="P43" s="28" t="n">
        <f aca="false">H43/G43</f>
        <v>28565.1166666667</v>
      </c>
      <c r="Q43" s="1"/>
      <c r="R43" s="29" t="n">
        <f aca="false">R42+H43</f>
        <v>108056.35</v>
      </c>
    </row>
    <row r="44" customFormat="false" ht="13.8" hidden="false" customHeight="false" outlineLevel="0" collapsed="false">
      <c r="A44" s="1" t="s">
        <v>250</v>
      </c>
      <c r="B44" s="2" t="n">
        <v>45882</v>
      </c>
      <c r="C44" s="2" t="n">
        <v>45882</v>
      </c>
      <c r="D44" s="1"/>
      <c r="E44" s="2" t="n">
        <v>45916</v>
      </c>
      <c r="F44" s="5" t="n">
        <f aca="false">DAYS360(C44,E44)</f>
        <v>33</v>
      </c>
      <c r="G44" s="4" t="n">
        <v>1</v>
      </c>
      <c r="H44" s="38" t="n">
        <v>28825</v>
      </c>
      <c r="I44" s="35" t="n">
        <f aca="false">IF(H44&lt;0,H44,0)</f>
        <v>0</v>
      </c>
      <c r="J44" s="35" t="n">
        <f aca="false">IF(H44&gt;0,H44,0)</f>
        <v>28825</v>
      </c>
      <c r="K44" s="35" t="n">
        <f aca="false">K43+I44</f>
        <v>0</v>
      </c>
      <c r="L44" s="35" t="n">
        <f aca="false">L43+J44</f>
        <v>136881.35</v>
      </c>
      <c r="M44" s="35" t="n">
        <f aca="false">M43+H44</f>
        <v>136881.35</v>
      </c>
      <c r="O44" s="1" t="s">
        <v>251</v>
      </c>
      <c r="P44" s="28" t="n">
        <f aca="false">H44/G44</f>
        <v>28825</v>
      </c>
      <c r="Q44" s="1"/>
      <c r="R44" s="29" t="n">
        <f aca="false">R43+H44</f>
        <v>136881.35</v>
      </c>
    </row>
    <row r="45" customFormat="false" ht="13.8" hidden="false" customHeight="false" outlineLevel="0" collapsed="false">
      <c r="A45" s="1" t="s">
        <v>250</v>
      </c>
      <c r="B45" s="2" t="n">
        <v>45896</v>
      </c>
      <c r="C45" s="2" t="n">
        <v>45896</v>
      </c>
      <c r="D45" s="1"/>
      <c r="E45" s="2" t="n">
        <v>45916</v>
      </c>
      <c r="F45" s="5" t="n">
        <f aca="false">DAYS360(C45,E45)</f>
        <v>19</v>
      </c>
      <c r="G45" s="4" t="n">
        <v>1</v>
      </c>
      <c r="H45" s="38" t="n">
        <v>28825</v>
      </c>
      <c r="I45" s="35" t="n">
        <f aca="false">IF(H45&lt;0,H45,0)</f>
        <v>0</v>
      </c>
      <c r="J45" s="35" t="n">
        <f aca="false">IF(H45&gt;0,H45,0)</f>
        <v>28825</v>
      </c>
      <c r="K45" s="35" t="n">
        <f aca="false">K44+I45</f>
        <v>0</v>
      </c>
      <c r="L45" s="35" t="n">
        <f aca="false">L44+J45</f>
        <v>165706.35</v>
      </c>
      <c r="M45" s="35" t="n">
        <f aca="false">M44+H45</f>
        <v>165706.35</v>
      </c>
      <c r="O45" s="1" t="s">
        <v>251</v>
      </c>
      <c r="P45" s="28" t="n">
        <f aca="false">H45/G45</f>
        <v>28825</v>
      </c>
      <c r="Q45" s="1"/>
      <c r="R45" s="29" t="n">
        <f aca="false">R44+H45</f>
        <v>165706.35</v>
      </c>
    </row>
    <row r="46" customFormat="false" ht="13.8" hidden="false" customHeight="false" outlineLevel="0" collapsed="false">
      <c r="A46" s="1" t="s">
        <v>250</v>
      </c>
      <c r="B46" s="2" t="n">
        <v>45910</v>
      </c>
      <c r="C46" s="2" t="n">
        <f aca="false">B46</f>
        <v>45910</v>
      </c>
      <c r="D46" s="1"/>
      <c r="E46" s="2" t="n">
        <v>45934</v>
      </c>
      <c r="F46" s="5" t="n">
        <f aca="false">DAYS360(C46,E46)</f>
        <v>24</v>
      </c>
      <c r="G46" s="4" t="n">
        <v>1</v>
      </c>
      <c r="H46" s="35" t="n">
        <v>28825.09</v>
      </c>
      <c r="I46" s="35" t="n">
        <f aca="false">IF(H46&lt;0,H46,0)</f>
        <v>0</v>
      </c>
      <c r="J46" s="35" t="n">
        <f aca="false">IF(H46&gt;0,H46,0)</f>
        <v>28825.09</v>
      </c>
      <c r="K46" s="35" t="n">
        <f aca="false">K45+I46</f>
        <v>0</v>
      </c>
      <c r="L46" s="35" t="n">
        <f aca="false">L45+J46</f>
        <v>194531.44</v>
      </c>
      <c r="M46" s="35" t="n">
        <f aca="false">M45+H46</f>
        <v>194531.44</v>
      </c>
      <c r="O46" s="1" t="s">
        <v>251</v>
      </c>
      <c r="P46" s="28" t="n">
        <f aca="false">H46/G46</f>
        <v>28825.09</v>
      </c>
      <c r="Q46" s="1"/>
      <c r="R46" s="29" t="n">
        <f aca="false">R45+H46</f>
        <v>194531.44</v>
      </c>
    </row>
    <row r="47" customFormat="false" ht="13.8" hidden="false" customHeight="false" outlineLevel="0" collapsed="false">
      <c r="A47" s="1" t="s">
        <v>250</v>
      </c>
      <c r="B47" s="2" t="n">
        <v>45924</v>
      </c>
      <c r="C47" s="2" t="n">
        <f aca="false">B47</f>
        <v>45924</v>
      </c>
      <c r="D47" s="1"/>
      <c r="E47" s="2" t="n">
        <v>45939</v>
      </c>
      <c r="F47" s="5" t="n">
        <f aca="false">DAYS360(C47,E47)</f>
        <v>15</v>
      </c>
      <c r="G47" s="4" t="n">
        <v>1</v>
      </c>
      <c r="H47" s="35" t="n">
        <v>28825.09</v>
      </c>
      <c r="I47" s="35" t="n">
        <f aca="false">IF(H47&lt;0,H47,0)</f>
        <v>0</v>
      </c>
      <c r="J47" s="35" t="n">
        <f aca="false">IF(H47&gt;0,H47,0)</f>
        <v>28825.09</v>
      </c>
      <c r="K47" s="35" t="n">
        <f aca="false">K46+I47</f>
        <v>0</v>
      </c>
      <c r="L47" s="35" t="n">
        <f aca="false">L46+J47</f>
        <v>223356.53</v>
      </c>
      <c r="M47" s="35" t="n">
        <f aca="false">M46+H47</f>
        <v>223356.53</v>
      </c>
      <c r="O47" s="1" t="s">
        <v>251</v>
      </c>
      <c r="P47" s="28" t="n">
        <f aca="false">H47/G47</f>
        <v>28825.09</v>
      </c>
      <c r="Q47" s="1"/>
      <c r="R47" s="29" t="n">
        <f aca="false">R46+H47</f>
        <v>223356.53</v>
      </c>
    </row>
    <row r="48" customFormat="false" ht="13.8" hidden="false" customHeight="false" outlineLevel="0" collapsed="false">
      <c r="A48" s="1" t="s">
        <v>250</v>
      </c>
      <c r="B48" s="2" t="n">
        <v>45938</v>
      </c>
      <c r="C48" s="2" t="n">
        <v>45938</v>
      </c>
      <c r="D48" s="2" t="n">
        <v>45944</v>
      </c>
      <c r="E48" s="2" t="n">
        <v>45958</v>
      </c>
      <c r="F48" s="5" t="n">
        <f aca="false">DAYS360(C48,E48)</f>
        <v>20</v>
      </c>
      <c r="G48" s="4" t="n">
        <v>1</v>
      </c>
      <c r="H48" s="38" t="n">
        <v>28825</v>
      </c>
      <c r="I48" s="35" t="n">
        <f aca="false">IF(H48&lt;0,H48,0)</f>
        <v>0</v>
      </c>
      <c r="J48" s="35" t="n">
        <f aca="false">IF(H48&gt;0,H48,0)</f>
        <v>28825</v>
      </c>
      <c r="K48" s="35" t="n">
        <f aca="false">K47+I48</f>
        <v>0</v>
      </c>
      <c r="L48" s="35" t="n">
        <f aca="false">L47+J48</f>
        <v>252181.53</v>
      </c>
      <c r="M48" s="35" t="n">
        <f aca="false">M47+H48</f>
        <v>252181.53</v>
      </c>
      <c r="O48" s="1" t="s">
        <v>251</v>
      </c>
      <c r="P48" s="28" t="n">
        <f aca="false">H48/G48</f>
        <v>28825</v>
      </c>
      <c r="Q48" s="1"/>
      <c r="R48" s="29" t="n">
        <f aca="false">R47+H48</f>
        <v>252181.53</v>
      </c>
    </row>
    <row r="49" customFormat="false" ht="13.8" hidden="false" customHeight="false" outlineLevel="0" collapsed="false">
      <c r="A49" s="1" t="s">
        <v>250</v>
      </c>
      <c r="B49" s="2" t="n">
        <v>45952</v>
      </c>
      <c r="C49" s="2" t="n">
        <v>45952</v>
      </c>
      <c r="D49" s="2" t="n">
        <v>45947</v>
      </c>
      <c r="E49" s="2" t="n">
        <v>45967</v>
      </c>
      <c r="F49" s="5" t="n">
        <f aca="false">DAYS360(C49,E49)</f>
        <v>14</v>
      </c>
      <c r="G49" s="4" t="n">
        <v>1</v>
      </c>
      <c r="H49" s="38" t="n">
        <v>28997</v>
      </c>
      <c r="I49" s="35" t="n">
        <f aca="false">IF(H49&lt;0,H49,0)</f>
        <v>0</v>
      </c>
      <c r="J49" s="35" t="n">
        <f aca="false">IF(H49&gt;0,H49,0)</f>
        <v>28997</v>
      </c>
      <c r="K49" s="35" t="n">
        <f aca="false">K48+I49</f>
        <v>0</v>
      </c>
      <c r="L49" s="35" t="n">
        <f aca="false">L48+J49</f>
        <v>281178.53</v>
      </c>
      <c r="M49" s="35" t="n">
        <f aca="false">M48+H49</f>
        <v>281178.53</v>
      </c>
      <c r="O49" s="1" t="s">
        <v>251</v>
      </c>
      <c r="P49" s="28" t="n">
        <f aca="false">H49/G49</f>
        <v>28997</v>
      </c>
      <c r="Q49" s="1"/>
      <c r="R49" s="29" t="n">
        <f aca="false">R48+H49</f>
        <v>281178.53</v>
      </c>
    </row>
    <row r="50" customFormat="false" ht="13.8" hidden="false" customHeight="false" outlineLevel="0" collapsed="false">
      <c r="A50" s="1" t="s">
        <v>250</v>
      </c>
      <c r="B50" s="2" t="n">
        <v>45966</v>
      </c>
      <c r="C50" s="2" t="n">
        <v>45966</v>
      </c>
      <c r="D50" s="2"/>
      <c r="E50" s="2" t="n">
        <v>45993</v>
      </c>
      <c r="F50" s="5" t="n">
        <f aca="false">DAYS360(C50,E50)</f>
        <v>27</v>
      </c>
      <c r="G50" s="4" t="n">
        <v>1</v>
      </c>
      <c r="H50" s="38" t="n">
        <v>28997</v>
      </c>
      <c r="I50" s="35" t="n">
        <f aca="false">IF(H50&lt;0,H50,0)</f>
        <v>0</v>
      </c>
      <c r="J50" s="35" t="n">
        <f aca="false">IF(H50&gt;0,H50,0)</f>
        <v>28997</v>
      </c>
      <c r="K50" s="35" t="n">
        <f aca="false">K49+I50</f>
        <v>0</v>
      </c>
      <c r="L50" s="35" t="n">
        <f aca="false">L49+J50</f>
        <v>310175.53</v>
      </c>
      <c r="M50" s="35" t="n">
        <f aca="false">M49+H50</f>
        <v>310175.53</v>
      </c>
      <c r="O50" s="1" t="s">
        <v>251</v>
      </c>
      <c r="P50" s="28" t="n">
        <f aca="false">H50/G50</f>
        <v>28997</v>
      </c>
      <c r="Q50" s="1"/>
      <c r="R50" s="29" t="n">
        <f aca="false">R49+H50</f>
        <v>310175.53</v>
      </c>
    </row>
    <row r="51" customFormat="false" ht="13.8" hidden="false" customHeight="false" outlineLevel="0" collapsed="false">
      <c r="A51" s="1" t="s">
        <v>250</v>
      </c>
      <c r="B51" s="2" t="n">
        <v>45980</v>
      </c>
      <c r="C51" s="2" t="n">
        <v>45980</v>
      </c>
      <c r="D51" s="2"/>
      <c r="E51" s="2" t="n">
        <v>45997</v>
      </c>
      <c r="F51" s="5" t="n">
        <f aca="false">DAYS360(C51,E51)</f>
        <v>17</v>
      </c>
      <c r="G51" s="4" t="n">
        <v>1</v>
      </c>
      <c r="H51" s="38" t="n">
        <v>28997</v>
      </c>
      <c r="I51" s="35" t="n">
        <f aca="false">IF(H51&lt;0,H51,0)</f>
        <v>0</v>
      </c>
      <c r="J51" s="35" t="n">
        <f aca="false">IF(H51&gt;0,H51,0)</f>
        <v>28997</v>
      </c>
      <c r="K51" s="35" t="n">
        <f aca="false">K50+I51</f>
        <v>0</v>
      </c>
      <c r="L51" s="35" t="n">
        <f aca="false">L50+J51</f>
        <v>339172.53</v>
      </c>
      <c r="M51" s="35" t="n">
        <f aca="false">M50+H51</f>
        <v>339172.53</v>
      </c>
      <c r="O51" s="1" t="s">
        <v>251</v>
      </c>
      <c r="P51" s="28" t="n">
        <f aca="false">H51/G51</f>
        <v>28997</v>
      </c>
      <c r="Q51" s="1"/>
      <c r="R51" s="29" t="n">
        <f aca="false">R50+H51</f>
        <v>339172.53</v>
      </c>
    </row>
    <row r="52" customFormat="false" ht="13.8" hidden="false" customHeight="false" outlineLevel="0" collapsed="false">
      <c r="A52" s="1" t="s">
        <v>250</v>
      </c>
      <c r="B52" s="2" t="n">
        <v>45995</v>
      </c>
      <c r="C52" s="2" t="n">
        <f aca="false">B52</f>
        <v>45995</v>
      </c>
      <c r="D52" s="1"/>
      <c r="E52" s="2" t="n">
        <v>46019</v>
      </c>
      <c r="F52" s="5" t="n">
        <f aca="false">DAYS360(C52,E52)</f>
        <v>24</v>
      </c>
      <c r="G52" s="4" t="n">
        <v>1</v>
      </c>
      <c r="H52" s="35" t="n">
        <v>28997.56</v>
      </c>
      <c r="I52" s="35" t="n">
        <f aca="false">IF(H52&lt;0,H52,0)</f>
        <v>0</v>
      </c>
      <c r="J52" s="35" t="n">
        <f aca="false">IF(H52&gt;0,H52,0)</f>
        <v>28997.56</v>
      </c>
      <c r="K52" s="35" t="n">
        <f aca="false">K51+I52</f>
        <v>0</v>
      </c>
      <c r="L52" s="35" t="n">
        <f aca="false">L51+J52</f>
        <v>368170.09</v>
      </c>
      <c r="M52" s="35" t="n">
        <f aca="false">M51+H52</f>
        <v>368170.09</v>
      </c>
      <c r="O52" s="1" t="s">
        <v>251</v>
      </c>
      <c r="P52" s="28" t="n">
        <f aca="false">H52/G52</f>
        <v>28997.56</v>
      </c>
      <c r="Q52" s="1"/>
      <c r="R52" s="29" t="n">
        <f aca="false">R51+H52</f>
        <v>368170.09</v>
      </c>
    </row>
    <row r="53" customFormat="false" ht="13.8" hidden="false" customHeight="false" outlineLevel="0" collapsed="false">
      <c r="A53" s="1" t="s">
        <v>250</v>
      </c>
      <c r="B53" s="2" t="n">
        <v>46015</v>
      </c>
      <c r="C53" s="2" t="n">
        <f aca="false">B53</f>
        <v>46015</v>
      </c>
      <c r="D53" s="1"/>
      <c r="E53" s="2" t="n">
        <v>46032</v>
      </c>
      <c r="F53" s="5" t="n">
        <f aca="false">DAYS360(C53,E53)</f>
        <v>16</v>
      </c>
      <c r="G53" s="4" t="n">
        <v>1</v>
      </c>
      <c r="H53" s="35" t="n">
        <v>31807.83</v>
      </c>
      <c r="I53" s="35" t="n">
        <f aca="false">IF(H53&lt;0,H53,0)</f>
        <v>0</v>
      </c>
      <c r="J53" s="35" t="n">
        <f aca="false">IF(H53&gt;0,H53,0)</f>
        <v>31807.83</v>
      </c>
      <c r="K53" s="35" t="n">
        <f aca="false">K52+I53</f>
        <v>0</v>
      </c>
      <c r="L53" s="35" t="n">
        <f aca="false">L52+J53</f>
        <v>399977.92</v>
      </c>
      <c r="M53" s="35" t="n">
        <f aca="false">M52+H53</f>
        <v>399977.92</v>
      </c>
      <c r="O53" s="1" t="s">
        <v>251</v>
      </c>
      <c r="P53" s="28" t="n">
        <f aca="false">H53/G53</f>
        <v>31807.83</v>
      </c>
      <c r="Q53" s="1"/>
      <c r="R53" s="29" t="n">
        <f aca="false">R52+H53</f>
        <v>399977.92</v>
      </c>
    </row>
    <row r="54" customFormat="false" ht="13.8" hidden="false" customHeight="false" outlineLevel="0" collapsed="false">
      <c r="A54" s="13" t="s">
        <v>18</v>
      </c>
      <c r="B54" s="33" t="n">
        <v>46029</v>
      </c>
      <c r="C54" s="33" t="n">
        <v>46029</v>
      </c>
      <c r="D54" s="1"/>
      <c r="E54" s="2" t="s">
        <v>162</v>
      </c>
      <c r="F54" s="5"/>
      <c r="G54" s="4" t="n">
        <v>1</v>
      </c>
      <c r="H54" s="1"/>
      <c r="I54" s="1"/>
      <c r="J54" s="1"/>
      <c r="K54" s="1"/>
      <c r="L54" s="1"/>
      <c r="M54" s="1"/>
      <c r="N54" s="1"/>
      <c r="P54" s="28"/>
      <c r="Q54" s="28"/>
      <c r="R54" s="29"/>
    </row>
    <row r="55" customFormat="false" ht="13.8" hidden="false" customHeight="false" outlineLevel="0" collapsed="false">
      <c r="A55" s="13" t="s">
        <v>18</v>
      </c>
      <c r="B55" s="33" t="n">
        <v>46043</v>
      </c>
      <c r="C55" s="33" t="n">
        <v>46043</v>
      </c>
      <c r="D55" s="1"/>
      <c r="E55" s="2" t="s">
        <v>162</v>
      </c>
      <c r="F55" s="5"/>
      <c r="G55" s="4" t="n">
        <v>1</v>
      </c>
      <c r="H55" s="1"/>
      <c r="I55" s="1"/>
      <c r="J55" s="1"/>
      <c r="K55" s="1"/>
      <c r="L55" s="1"/>
      <c r="M55" s="1"/>
      <c r="N55" s="1"/>
      <c r="P55" s="28"/>
      <c r="Q55" s="28"/>
      <c r="R55" s="29"/>
    </row>
    <row r="56" customFormat="false" ht="13.8" hidden="false" customHeight="false" outlineLevel="0" collapsed="false">
      <c r="A56" s="1" t="s">
        <v>253</v>
      </c>
      <c r="E56" s="17" t="n">
        <v>45717</v>
      </c>
      <c r="H56" s="35" t="n">
        <v>-7638</v>
      </c>
      <c r="I56" s="35" t="n">
        <f aca="false">IF(H56&lt;0,H56,0)</f>
        <v>-7638</v>
      </c>
      <c r="J56" s="35" t="n">
        <f aca="false">IF(H56&gt;0,H56,0)</f>
        <v>0</v>
      </c>
      <c r="K56" s="35" t="n">
        <f aca="false">I56</f>
        <v>-7638</v>
      </c>
      <c r="L56" s="35" t="n">
        <f aca="false">J56</f>
        <v>0</v>
      </c>
      <c r="M56" s="35" t="n">
        <f aca="false">H56</f>
        <v>-7638</v>
      </c>
    </row>
    <row r="57" customFormat="false" ht="13.8" hidden="false" customHeight="false" outlineLevel="0" collapsed="false">
      <c r="A57" s="1" t="s">
        <v>253</v>
      </c>
      <c r="E57" s="17" t="n">
        <v>45748</v>
      </c>
      <c r="H57" s="35" t="n">
        <v>-7638</v>
      </c>
      <c r="I57" s="35" t="n">
        <f aca="false">IF(H57&lt;0,H57,0)</f>
        <v>-7638</v>
      </c>
      <c r="J57" s="35" t="n">
        <f aca="false">IF(H57&gt;0,H57,0)</f>
        <v>0</v>
      </c>
      <c r="K57" s="35" t="n">
        <f aca="false">K56+I57</f>
        <v>-15276</v>
      </c>
      <c r="L57" s="35" t="n">
        <f aca="false">L56+J57</f>
        <v>0</v>
      </c>
      <c r="M57" s="35" t="n">
        <f aca="false">M56+H57</f>
        <v>-15276</v>
      </c>
    </row>
    <row r="58" customFormat="false" ht="13.8" hidden="false" customHeight="false" outlineLevel="0" collapsed="false">
      <c r="A58" s="1" t="s">
        <v>253</v>
      </c>
      <c r="E58" s="17" t="n">
        <v>45778</v>
      </c>
      <c r="H58" s="35" t="n">
        <v>-7638</v>
      </c>
      <c r="I58" s="35" t="n">
        <f aca="false">IF(H58&lt;0,H58,0)</f>
        <v>-7638</v>
      </c>
      <c r="J58" s="35" t="n">
        <f aca="false">IF(H58&gt;0,H58,0)</f>
        <v>0</v>
      </c>
      <c r="K58" s="35" t="n">
        <f aca="false">K57+I58</f>
        <v>-22914</v>
      </c>
      <c r="L58" s="35" t="n">
        <f aca="false">L57+J58</f>
        <v>0</v>
      </c>
      <c r="M58" s="35" t="n">
        <f aca="false">M57+H58</f>
        <v>-22914</v>
      </c>
    </row>
    <row r="59" customFormat="false" ht="13.8" hidden="false" customHeight="false" outlineLevel="0" collapsed="false">
      <c r="A59" s="1" t="s">
        <v>253</v>
      </c>
      <c r="E59" s="17" t="n">
        <v>45809</v>
      </c>
      <c r="H59" s="35" t="n">
        <v>-15279</v>
      </c>
      <c r="I59" s="35" t="n">
        <f aca="false">IF(H59&lt;0,H59,0)</f>
        <v>-15279</v>
      </c>
      <c r="J59" s="35" t="n">
        <f aca="false">IF(H59&gt;0,H59,0)</f>
        <v>0</v>
      </c>
      <c r="K59" s="35" t="n">
        <f aca="false">K58+I59</f>
        <v>-38193</v>
      </c>
      <c r="L59" s="35" t="n">
        <f aca="false">L58+J59</f>
        <v>0</v>
      </c>
      <c r="M59" s="35" t="n">
        <f aca="false">M58+H59</f>
        <v>-38193</v>
      </c>
    </row>
    <row r="60" customFormat="false" ht="13.8" hidden="false" customHeight="false" outlineLevel="0" collapsed="false">
      <c r="A60" s="1" t="s">
        <v>253</v>
      </c>
      <c r="E60" s="17" t="n">
        <v>45839</v>
      </c>
      <c r="H60" s="35" t="n">
        <v>-15279</v>
      </c>
      <c r="I60" s="35" t="n">
        <f aca="false">IF(H60&lt;0,H60,0)</f>
        <v>-15279</v>
      </c>
      <c r="J60" s="35" t="n">
        <f aca="false">IF(H60&gt;0,H60,0)</f>
        <v>0</v>
      </c>
      <c r="K60" s="35" t="n">
        <f aca="false">K59+I60</f>
        <v>-53472</v>
      </c>
      <c r="L60" s="35" t="n">
        <f aca="false">L59+J60</f>
        <v>0</v>
      </c>
      <c r="M60" s="35" t="n">
        <f aca="false">M59+H60</f>
        <v>-53472</v>
      </c>
    </row>
    <row r="61" customFormat="false" ht="13.8" hidden="false" customHeight="false" outlineLevel="0" collapsed="false">
      <c r="A61" s="1" t="s">
        <v>253</v>
      </c>
      <c r="E61" s="17" t="n">
        <v>45870</v>
      </c>
      <c r="H61" s="35" t="n">
        <v>-19098</v>
      </c>
      <c r="I61" s="35" t="n">
        <f aca="false">IF(H61&lt;0,H61,0)</f>
        <v>-19098</v>
      </c>
      <c r="J61" s="35" t="n">
        <f aca="false">IF(H61&gt;0,H61,0)</f>
        <v>0</v>
      </c>
      <c r="K61" s="35" t="n">
        <f aca="false">K60+I61</f>
        <v>-72570</v>
      </c>
      <c r="L61" s="35" t="n">
        <f aca="false">L60+J61</f>
        <v>0</v>
      </c>
      <c r="M61" s="35" t="n">
        <f aca="false">M60+H61</f>
        <v>-72570</v>
      </c>
    </row>
    <row r="62" customFormat="false" ht="13.8" hidden="false" customHeight="false" outlineLevel="0" collapsed="false">
      <c r="A62" s="1" t="s">
        <v>253</v>
      </c>
      <c r="E62" s="17" t="n">
        <v>45901</v>
      </c>
      <c r="H62" s="35" t="n">
        <v>-19098</v>
      </c>
      <c r="I62" s="35" t="n">
        <f aca="false">IF(H62&lt;0,H62,0)</f>
        <v>-19098</v>
      </c>
      <c r="J62" s="35" t="n">
        <f aca="false">IF(H62&gt;0,H62,0)</f>
        <v>0</v>
      </c>
      <c r="K62" s="35" t="n">
        <f aca="false">K61+I62</f>
        <v>-91668</v>
      </c>
      <c r="L62" s="35" t="n">
        <f aca="false">L61+J62</f>
        <v>0</v>
      </c>
      <c r="M62" s="35" t="n">
        <f aca="false">M61+H62</f>
        <v>-91668</v>
      </c>
    </row>
    <row r="63" customFormat="false" ht="13.8" hidden="false" customHeight="false" outlineLevel="0" collapsed="false">
      <c r="A63" s="1" t="s">
        <v>253</v>
      </c>
      <c r="E63" s="17" t="n">
        <v>45931</v>
      </c>
      <c r="H63" s="35" t="n">
        <v>-34382</v>
      </c>
      <c r="I63" s="35" t="n">
        <f aca="false">IF(H63&lt;0,H63,0)</f>
        <v>-34382</v>
      </c>
      <c r="J63" s="35" t="n">
        <f aca="false">IF(H63&gt;0,H63,0)</f>
        <v>0</v>
      </c>
      <c r="K63" s="35" t="n">
        <f aca="false">K62+I63</f>
        <v>-126050</v>
      </c>
      <c r="L63" s="35" t="n">
        <f aca="false">L62+J63</f>
        <v>0</v>
      </c>
      <c r="M63" s="35" t="n">
        <f aca="false">M62+H63</f>
        <v>-126050</v>
      </c>
    </row>
    <row r="64" customFormat="false" ht="13.8" hidden="false" customHeight="false" outlineLevel="0" collapsed="false">
      <c r="A64" s="1" t="s">
        <v>253</v>
      </c>
      <c r="E64" s="17" t="n">
        <v>45962</v>
      </c>
      <c r="H64" s="35" t="n">
        <v>-34382</v>
      </c>
      <c r="I64" s="35" t="n">
        <f aca="false">IF(H64&lt;0,H64,0)</f>
        <v>-34382</v>
      </c>
      <c r="J64" s="35" t="n">
        <f aca="false">IF(H64&gt;0,H64,0)</f>
        <v>0</v>
      </c>
      <c r="K64" s="35" t="n">
        <f aca="false">K63+I64</f>
        <v>-160432</v>
      </c>
      <c r="L64" s="35" t="n">
        <f aca="false">L63+J64</f>
        <v>0</v>
      </c>
      <c r="M64" s="35" t="n">
        <f aca="false">M63+H64</f>
        <v>-160432</v>
      </c>
    </row>
    <row r="65" customFormat="false" ht="13.8" hidden="false" customHeight="false" outlineLevel="0" collapsed="false">
      <c r="A65" s="1" t="s">
        <v>253</v>
      </c>
      <c r="E65" s="17" t="n">
        <v>45992</v>
      </c>
      <c r="H65" s="35" t="n">
        <v>-34382</v>
      </c>
      <c r="I65" s="35" t="n">
        <f aca="false">IF(H65&lt;0,H65,0)</f>
        <v>-34382</v>
      </c>
      <c r="J65" s="35" t="n">
        <f aca="false">IF(H65&gt;0,H65,0)</f>
        <v>0</v>
      </c>
      <c r="K65" s="35" t="n">
        <f aca="false">K64+I65</f>
        <v>-194814</v>
      </c>
      <c r="L65" s="35" t="n">
        <f aca="false">L64+J65</f>
        <v>0</v>
      </c>
      <c r="M65" s="35" t="n">
        <f aca="false">M64+H65</f>
        <v>-194814</v>
      </c>
    </row>
    <row r="66" customFormat="false" ht="13.8" hidden="false" customHeight="false" outlineLevel="0" collapsed="false">
      <c r="A66" s="1" t="s">
        <v>253</v>
      </c>
      <c r="E66" s="17" t="n">
        <v>46023</v>
      </c>
      <c r="H66" s="35" t="n">
        <v>-34382</v>
      </c>
      <c r="I66" s="35" t="n">
        <f aca="false">IF(H66&lt;0,H66,0)</f>
        <v>-34382</v>
      </c>
      <c r="J66" s="35" t="n">
        <f aca="false">IF(H66&gt;0,H66,0)</f>
        <v>0</v>
      </c>
      <c r="K66" s="35" t="n">
        <f aca="false">K65+I66</f>
        <v>-229196</v>
      </c>
      <c r="L66" s="35" t="n">
        <f aca="false">L65+J66</f>
        <v>0</v>
      </c>
      <c r="M66" s="35" t="n">
        <f aca="false">M65+H66</f>
        <v>-229196</v>
      </c>
    </row>
    <row r="67" customFormat="false" ht="13.8" hidden="false" customHeight="false" outlineLevel="0" collapsed="false">
      <c r="A67" s="1" t="s">
        <v>176</v>
      </c>
      <c r="B67" s="2" t="n">
        <v>45824</v>
      </c>
      <c r="C67" s="2" t="n">
        <v>45838</v>
      </c>
      <c r="D67" s="1"/>
      <c r="E67" s="2" t="n">
        <v>45889</v>
      </c>
      <c r="F67" s="5" t="n">
        <f aca="false">DAYS360(C67,E67)</f>
        <v>50</v>
      </c>
      <c r="G67" s="4" t="n">
        <v>2</v>
      </c>
      <c r="H67" s="38" t="n">
        <v>84499.18</v>
      </c>
      <c r="I67" s="35" t="n">
        <f aca="false">IF(H67&lt;0,H67,0)</f>
        <v>0</v>
      </c>
      <c r="J67" s="35" t="n">
        <f aca="false">IF(H67&gt;0,H67,0)</f>
        <v>84499.18</v>
      </c>
      <c r="K67" s="35" t="n">
        <f aca="false">K66+I67</f>
        <v>-229196</v>
      </c>
      <c r="L67" s="35" t="n">
        <f aca="false">L66+J67</f>
        <v>84499.18</v>
      </c>
      <c r="M67" s="35" t="n">
        <f aca="false">M66+H67</f>
        <v>-144696.82</v>
      </c>
      <c r="O67" s="1" t="s">
        <v>163</v>
      </c>
      <c r="P67" s="28" t="n">
        <f aca="false">H67/G67</f>
        <v>42249.59</v>
      </c>
      <c r="Q67" s="1"/>
      <c r="R67" s="29" t="n">
        <f aca="false">R66+H67</f>
        <v>84499.18</v>
      </c>
    </row>
    <row r="68" customFormat="false" ht="13.8" hidden="false" customHeight="false" outlineLevel="0" collapsed="false">
      <c r="A68" s="1" t="s">
        <v>176</v>
      </c>
      <c r="B68" s="2" t="n">
        <v>45854</v>
      </c>
      <c r="C68" s="2" t="n">
        <v>45854</v>
      </c>
      <c r="D68" s="1"/>
      <c r="E68" s="2" t="n">
        <v>45904</v>
      </c>
      <c r="F68" s="5" t="n">
        <f aca="false">DAYS360(C68,E68)</f>
        <v>48</v>
      </c>
      <c r="G68" s="4" t="n">
        <v>1</v>
      </c>
      <c r="H68" s="38" t="n">
        <f aca="false">39244+791</f>
        <v>40035</v>
      </c>
      <c r="I68" s="35" t="n">
        <f aca="false">IF(H68&lt;0,H68,0)</f>
        <v>0</v>
      </c>
      <c r="J68" s="35" t="n">
        <f aca="false">IF(H68&gt;0,H68,0)</f>
        <v>40035</v>
      </c>
      <c r="K68" s="35" t="n">
        <f aca="false">K67+I68</f>
        <v>-229196</v>
      </c>
      <c r="L68" s="35" t="n">
        <f aca="false">L67+J68</f>
        <v>124534.18</v>
      </c>
      <c r="M68" s="35" t="n">
        <f aca="false">M67+H68</f>
        <v>-104661.82</v>
      </c>
      <c r="O68" s="1" t="s">
        <v>163</v>
      </c>
      <c r="P68" s="28" t="n">
        <f aca="false">H68/G68</f>
        <v>40035</v>
      </c>
      <c r="Q68" s="1"/>
      <c r="R68" s="29" t="n">
        <f aca="false">R67+H68</f>
        <v>124534.18</v>
      </c>
    </row>
    <row r="69" customFormat="false" ht="13.8" hidden="false" customHeight="false" outlineLevel="0" collapsed="false">
      <c r="A69" s="1" t="s">
        <v>176</v>
      </c>
      <c r="B69" s="2" t="n">
        <v>45889</v>
      </c>
      <c r="C69" s="2" t="n">
        <v>45889</v>
      </c>
      <c r="D69" s="1"/>
      <c r="E69" s="2" t="n">
        <v>45916</v>
      </c>
      <c r="F69" s="5" t="n">
        <f aca="false">DAYS360(C69,E69)</f>
        <v>26</v>
      </c>
      <c r="G69" s="4" t="n">
        <v>1</v>
      </c>
      <c r="H69" s="38" t="n">
        <f aca="false">39244+573</f>
        <v>39817</v>
      </c>
      <c r="I69" s="35" t="n">
        <f aca="false">IF(H69&lt;0,H69,0)</f>
        <v>0</v>
      </c>
      <c r="J69" s="35" t="n">
        <f aca="false">IF(H69&gt;0,H69,0)</f>
        <v>39817</v>
      </c>
      <c r="K69" s="35" t="n">
        <f aca="false">K68+I69</f>
        <v>-229196</v>
      </c>
      <c r="L69" s="35" t="n">
        <f aca="false">L68+J69</f>
        <v>164351.18</v>
      </c>
      <c r="M69" s="35" t="n">
        <f aca="false">M68+H69</f>
        <v>-64844.82</v>
      </c>
      <c r="O69" s="1" t="s">
        <v>163</v>
      </c>
      <c r="P69" s="28" t="n">
        <f aca="false">H69/G69</f>
        <v>39817</v>
      </c>
      <c r="Q69" s="1"/>
      <c r="R69" s="29" t="n">
        <f aca="false">R68+H69</f>
        <v>164351.18</v>
      </c>
    </row>
    <row r="70" customFormat="false" ht="13.8" hidden="false" customHeight="false" outlineLevel="0" collapsed="false">
      <c r="A70" s="1" t="s">
        <v>176</v>
      </c>
      <c r="B70" s="2" t="n">
        <v>45808</v>
      </c>
      <c r="C70" s="2" t="n">
        <v>45808</v>
      </c>
      <c r="D70" s="1"/>
      <c r="E70" s="2" t="n">
        <v>45923</v>
      </c>
      <c r="F70" s="5" t="n">
        <f aca="false">DAYS360(C70,E70)</f>
        <v>113</v>
      </c>
      <c r="G70" s="4" t="n">
        <v>1</v>
      </c>
      <c r="H70" s="38" t="n">
        <v>36036</v>
      </c>
      <c r="I70" s="35" t="n">
        <f aca="false">IF(H70&lt;0,H70,0)</f>
        <v>0</v>
      </c>
      <c r="J70" s="35" t="n">
        <f aca="false">IF(H70&gt;0,H70,0)</f>
        <v>36036</v>
      </c>
      <c r="K70" s="35" t="n">
        <f aca="false">K69+I70</f>
        <v>-229196</v>
      </c>
      <c r="L70" s="35" t="n">
        <f aca="false">L69+J70</f>
        <v>200387.18</v>
      </c>
      <c r="M70" s="35" t="n">
        <f aca="false">M69+H70</f>
        <v>-28808.82</v>
      </c>
      <c r="O70" s="1" t="s">
        <v>163</v>
      </c>
      <c r="P70" s="28" t="n">
        <f aca="false">H70/G70</f>
        <v>36036</v>
      </c>
      <c r="Q70" s="1"/>
      <c r="R70" s="29" t="n">
        <f aca="false">R69+H70</f>
        <v>200387.18</v>
      </c>
      <c r="S70" s="28"/>
    </row>
    <row r="71" customFormat="false" ht="13.8" hidden="false" customHeight="false" outlineLevel="0" collapsed="false">
      <c r="A71" s="1" t="s">
        <v>176</v>
      </c>
      <c r="B71" s="2" t="n">
        <v>45875</v>
      </c>
      <c r="C71" s="2" t="n">
        <v>45875</v>
      </c>
      <c r="D71" s="1"/>
      <c r="E71" s="2" t="n">
        <v>45925</v>
      </c>
      <c r="F71" s="5" t="n">
        <f aca="false">DAYS360(C71,E71)</f>
        <v>49</v>
      </c>
      <c r="G71" s="4" t="n">
        <v>1</v>
      </c>
      <c r="H71" s="38" t="n">
        <f aca="false">39244+573</f>
        <v>39817</v>
      </c>
      <c r="I71" s="35" t="n">
        <f aca="false">IF(H71&lt;0,H71,0)</f>
        <v>0</v>
      </c>
      <c r="J71" s="35" t="n">
        <f aca="false">IF(H71&gt;0,H71,0)</f>
        <v>39817</v>
      </c>
      <c r="K71" s="35" t="n">
        <f aca="false">K70+I71</f>
        <v>-229196</v>
      </c>
      <c r="L71" s="35" t="n">
        <f aca="false">L70+J71</f>
        <v>240204.18</v>
      </c>
      <c r="M71" s="35" t="n">
        <f aca="false">M70+H71</f>
        <v>11008.18</v>
      </c>
      <c r="O71" s="1" t="s">
        <v>163</v>
      </c>
      <c r="P71" s="28" t="n">
        <f aca="false">H71/G71</f>
        <v>39817</v>
      </c>
      <c r="Q71" s="1"/>
      <c r="R71" s="29" t="n">
        <f aca="false">R70+H71</f>
        <v>240204.18</v>
      </c>
    </row>
    <row r="72" customFormat="false" ht="13.8" hidden="false" customHeight="false" outlineLevel="0" collapsed="false">
      <c r="A72" s="1" t="s">
        <v>176</v>
      </c>
      <c r="B72" s="2" t="n">
        <v>45903</v>
      </c>
      <c r="C72" s="2" t="n">
        <v>45903</v>
      </c>
      <c r="D72" s="1"/>
      <c r="E72" s="2" t="n">
        <v>45938</v>
      </c>
      <c r="F72" s="5" t="n">
        <f aca="false">DAYS360(C72,E72)</f>
        <v>35</v>
      </c>
      <c r="G72" s="4" t="n">
        <v>1</v>
      </c>
      <c r="H72" s="38" t="n">
        <v>39898.84</v>
      </c>
      <c r="I72" s="35" t="n">
        <f aca="false">IF(H72&lt;0,H72,0)</f>
        <v>0</v>
      </c>
      <c r="J72" s="35" t="n">
        <f aca="false">IF(H72&gt;0,H72,0)</f>
        <v>39898.84</v>
      </c>
      <c r="K72" s="35" t="n">
        <f aca="false">K71+I72</f>
        <v>-229196</v>
      </c>
      <c r="L72" s="35" t="n">
        <f aca="false">L71+J72</f>
        <v>280103.02</v>
      </c>
      <c r="M72" s="35" t="n">
        <f aca="false">M71+H72</f>
        <v>50907.02</v>
      </c>
      <c r="O72" s="1" t="s">
        <v>163</v>
      </c>
      <c r="P72" s="28" t="n">
        <f aca="false">H72/G72</f>
        <v>39898.84</v>
      </c>
      <c r="Q72" s="1"/>
      <c r="R72" s="29" t="n">
        <f aca="false">R71+H72</f>
        <v>280103.02</v>
      </c>
    </row>
    <row r="73" customFormat="false" ht="13.8" hidden="false" customHeight="false" outlineLevel="0" collapsed="false">
      <c r="A73" s="1" t="s">
        <v>176</v>
      </c>
      <c r="B73" s="2" t="n">
        <v>45931</v>
      </c>
      <c r="C73" s="2" t="n">
        <v>45931</v>
      </c>
      <c r="D73" s="1"/>
      <c r="E73" s="2" t="n">
        <v>45944</v>
      </c>
      <c r="F73" s="5" t="n">
        <f aca="false">DAYS360(C73,E73)</f>
        <v>13</v>
      </c>
      <c r="G73" s="4" t="n">
        <v>1</v>
      </c>
      <c r="H73" s="38" t="n">
        <f aca="false">39325+573</f>
        <v>39898</v>
      </c>
      <c r="I73" s="35" t="n">
        <f aca="false">IF(H73&lt;0,H73,0)</f>
        <v>0</v>
      </c>
      <c r="J73" s="35" t="n">
        <f aca="false">IF(H73&gt;0,H73,0)</f>
        <v>39898</v>
      </c>
      <c r="K73" s="35" t="n">
        <f aca="false">K72+I73</f>
        <v>-229196</v>
      </c>
      <c r="L73" s="35" t="n">
        <f aca="false">L72+J73</f>
        <v>320001.02</v>
      </c>
      <c r="M73" s="35" t="n">
        <f aca="false">M72+H73</f>
        <v>90805.02</v>
      </c>
      <c r="O73" s="1" t="s">
        <v>163</v>
      </c>
      <c r="P73" s="28" t="n">
        <f aca="false">H73/G73</f>
        <v>39898</v>
      </c>
      <c r="Q73" s="1"/>
      <c r="R73" s="29" t="n">
        <f aca="false">R72+H73</f>
        <v>320001.02</v>
      </c>
    </row>
    <row r="74" customFormat="false" ht="13.8" hidden="false" customHeight="false" outlineLevel="0" collapsed="false">
      <c r="A74" s="1" t="s">
        <v>176</v>
      </c>
      <c r="B74" s="2" t="n">
        <v>45917</v>
      </c>
      <c r="C74" s="2" t="n">
        <v>45917</v>
      </c>
      <c r="D74" s="1"/>
      <c r="E74" s="2" t="n">
        <v>45947</v>
      </c>
      <c r="F74" s="5" t="n">
        <f aca="false">DAYS360(C74,E74)</f>
        <v>30</v>
      </c>
      <c r="G74" s="4" t="n">
        <v>1</v>
      </c>
      <c r="H74" s="38" t="n">
        <f aca="false">573+39325</f>
        <v>39898</v>
      </c>
      <c r="I74" s="35" t="n">
        <f aca="false">IF(H74&lt;0,H74,0)</f>
        <v>0</v>
      </c>
      <c r="J74" s="35" t="n">
        <f aca="false">IF(H74&gt;0,H74,0)</f>
        <v>39898</v>
      </c>
      <c r="K74" s="35" t="n">
        <f aca="false">K73+I74</f>
        <v>-229196</v>
      </c>
      <c r="L74" s="35" t="n">
        <f aca="false">L73+J74</f>
        <v>359899.02</v>
      </c>
      <c r="M74" s="35" t="n">
        <f aca="false">M73+H74</f>
        <v>130703.02</v>
      </c>
      <c r="O74" s="1" t="s">
        <v>163</v>
      </c>
      <c r="P74" s="28" t="n">
        <f aca="false">H74/G74</f>
        <v>39898</v>
      </c>
      <c r="Q74" s="1"/>
      <c r="R74" s="29" t="n">
        <f aca="false">R73+H74</f>
        <v>359899.02</v>
      </c>
    </row>
    <row r="75" customFormat="false" ht="13.8" hidden="false" customHeight="false" outlineLevel="0" collapsed="false">
      <c r="A75" s="1" t="s">
        <v>176</v>
      </c>
      <c r="B75" s="2" t="n">
        <v>45945</v>
      </c>
      <c r="C75" s="2" t="n">
        <v>45945</v>
      </c>
      <c r="D75" s="1"/>
      <c r="E75" s="2" t="n">
        <v>45958</v>
      </c>
      <c r="F75" s="5" t="n">
        <f aca="false">DAYS360(C75,E75)</f>
        <v>13</v>
      </c>
      <c r="G75" s="4" t="n">
        <v>1</v>
      </c>
      <c r="H75" s="38" t="n">
        <f aca="false">39325+573</f>
        <v>39898</v>
      </c>
      <c r="I75" s="35" t="n">
        <f aca="false">IF(H75&lt;0,H75,0)</f>
        <v>0</v>
      </c>
      <c r="J75" s="35" t="n">
        <f aca="false">IF(H75&gt;0,H75,0)</f>
        <v>39898</v>
      </c>
      <c r="K75" s="35" t="n">
        <f aca="false">K74+I75</f>
        <v>-229196</v>
      </c>
      <c r="L75" s="35" t="n">
        <f aca="false">L74+J75</f>
        <v>399797.02</v>
      </c>
      <c r="M75" s="35" t="n">
        <f aca="false">M74+H75</f>
        <v>170601.02</v>
      </c>
      <c r="O75" s="1" t="s">
        <v>163</v>
      </c>
      <c r="P75" s="28" t="n">
        <f aca="false">H75/G75</f>
        <v>39898</v>
      </c>
      <c r="Q75" s="1"/>
      <c r="R75" s="29" t="n">
        <f aca="false">R74+H75</f>
        <v>399797.02</v>
      </c>
    </row>
    <row r="76" customFormat="false" ht="13.8" hidden="false" customHeight="false" outlineLevel="0" collapsed="false">
      <c r="A76" s="1" t="s">
        <v>176</v>
      </c>
      <c r="B76" s="2" t="n">
        <v>45959</v>
      </c>
      <c r="C76" s="2" t="n">
        <v>45959</v>
      </c>
      <c r="D76" s="1"/>
      <c r="E76" s="2" t="n">
        <v>45973</v>
      </c>
      <c r="F76" s="5" t="n">
        <f aca="false">DAYS360(C76,E76)</f>
        <v>13</v>
      </c>
      <c r="G76" s="4" t="n">
        <v>1</v>
      </c>
      <c r="H76" s="38" t="n">
        <f aca="false">39325+573</f>
        <v>39898</v>
      </c>
      <c r="I76" s="35" t="n">
        <f aca="false">IF(H76&lt;0,H76,0)</f>
        <v>0</v>
      </c>
      <c r="J76" s="35" t="n">
        <f aca="false">IF(H76&gt;0,H76,0)</f>
        <v>39898</v>
      </c>
      <c r="K76" s="35" t="n">
        <f aca="false">K75+I76</f>
        <v>-229196</v>
      </c>
      <c r="L76" s="35" t="n">
        <f aca="false">L75+J76</f>
        <v>439695.02</v>
      </c>
      <c r="M76" s="35" t="n">
        <f aca="false">M75+H76</f>
        <v>210499.02</v>
      </c>
      <c r="O76" s="1" t="s">
        <v>163</v>
      </c>
      <c r="P76" s="28" t="n">
        <f aca="false">H76/G76</f>
        <v>39898</v>
      </c>
      <c r="Q76" s="1"/>
      <c r="R76" s="29" t="n">
        <f aca="false">R75+H76</f>
        <v>439695.02</v>
      </c>
    </row>
    <row r="77" customFormat="false" ht="13.8" hidden="false" customHeight="false" outlineLevel="0" collapsed="false">
      <c r="A77" s="1" t="s">
        <v>176</v>
      </c>
      <c r="B77" s="2" t="n">
        <v>45981</v>
      </c>
      <c r="C77" s="2" t="n">
        <v>45981</v>
      </c>
      <c r="D77" s="1"/>
      <c r="E77" s="2" t="n">
        <v>45993</v>
      </c>
      <c r="F77" s="5" t="n">
        <f aca="false">DAYS360(C77,E77)</f>
        <v>12</v>
      </c>
      <c r="G77" s="4" t="n">
        <v>1</v>
      </c>
      <c r="H77" s="38" t="n">
        <f aca="false">573+39325</f>
        <v>39898</v>
      </c>
      <c r="I77" s="35" t="n">
        <f aca="false">IF(H77&lt;0,H77,0)</f>
        <v>0</v>
      </c>
      <c r="J77" s="35" t="n">
        <f aca="false">IF(H77&gt;0,H77,0)</f>
        <v>39898</v>
      </c>
      <c r="K77" s="35" t="n">
        <f aca="false">K76+I77</f>
        <v>-229196</v>
      </c>
      <c r="L77" s="35" t="n">
        <f aca="false">L76+J77</f>
        <v>479593.02</v>
      </c>
      <c r="M77" s="35" t="n">
        <f aca="false">M76+H77</f>
        <v>250397.02</v>
      </c>
      <c r="O77" s="1" t="s">
        <v>163</v>
      </c>
      <c r="P77" s="28" t="n">
        <f aca="false">H77/G77</f>
        <v>39898</v>
      </c>
      <c r="Q77" s="1"/>
      <c r="R77" s="29" t="n">
        <f aca="false">R76+H77</f>
        <v>479593.02</v>
      </c>
    </row>
    <row r="78" customFormat="false" ht="13.8" hidden="false" customHeight="false" outlineLevel="0" collapsed="false">
      <c r="A78" s="1" t="s">
        <v>176</v>
      </c>
      <c r="B78" s="2" t="n">
        <v>45995</v>
      </c>
      <c r="C78" s="2" t="n">
        <v>45995</v>
      </c>
      <c r="D78" s="1"/>
      <c r="E78" s="2" t="n">
        <v>46007</v>
      </c>
      <c r="F78" s="5" t="n">
        <f aca="false">DAYS360(C78,E78)</f>
        <v>12</v>
      </c>
      <c r="G78" s="4" t="n">
        <v>1</v>
      </c>
      <c r="H78" s="38" t="n">
        <f aca="false">573+39325</f>
        <v>39898</v>
      </c>
      <c r="I78" s="35" t="n">
        <f aca="false">IF(H78&lt;0,H78,0)</f>
        <v>0</v>
      </c>
      <c r="J78" s="35" t="n">
        <f aca="false">IF(H78&gt;0,H78,0)</f>
        <v>39898</v>
      </c>
      <c r="K78" s="35" t="n">
        <f aca="false">K77+I78</f>
        <v>-229196</v>
      </c>
      <c r="L78" s="35" t="n">
        <f aca="false">L77+J78</f>
        <v>519491.02</v>
      </c>
      <c r="M78" s="35" t="n">
        <f aca="false">M77+H78</f>
        <v>290295.02</v>
      </c>
      <c r="O78" s="1" t="s">
        <v>163</v>
      </c>
      <c r="P78" s="28" t="n">
        <f aca="false">H78/G78</f>
        <v>39898</v>
      </c>
      <c r="Q78" s="1"/>
      <c r="R78" s="29" t="n">
        <f aca="false">R77+H78</f>
        <v>519491.02</v>
      </c>
    </row>
    <row r="79" customFormat="false" ht="13.8" hidden="false" customHeight="false" outlineLevel="0" collapsed="false">
      <c r="A79" s="1" t="s">
        <v>176</v>
      </c>
      <c r="B79" s="2" t="n">
        <v>46009</v>
      </c>
      <c r="C79" s="2" t="n">
        <v>46009</v>
      </c>
      <c r="D79" s="1"/>
      <c r="E79" s="2" t="n">
        <v>46028</v>
      </c>
      <c r="F79" s="5" t="n">
        <f aca="false">DAYS360(C79,E79)</f>
        <v>18</v>
      </c>
      <c r="G79" s="4" t="n">
        <v>1</v>
      </c>
      <c r="H79" s="35" t="n">
        <f aca="false">39325+572</f>
        <v>39897</v>
      </c>
      <c r="I79" s="35" t="n">
        <f aca="false">IF(H79&lt;0,H79,0)</f>
        <v>0</v>
      </c>
      <c r="J79" s="35" t="n">
        <f aca="false">IF(H79&gt;0,H79,0)</f>
        <v>39897</v>
      </c>
      <c r="K79" s="35" t="n">
        <f aca="false">K78+I79</f>
        <v>-229196</v>
      </c>
      <c r="L79" s="35" t="n">
        <f aca="false">L78+J79</f>
        <v>559388.02</v>
      </c>
      <c r="M79" s="35" t="n">
        <f aca="false">M78+H79</f>
        <v>330192.02</v>
      </c>
      <c r="O79" s="1" t="s">
        <v>163</v>
      </c>
      <c r="P79" s="28" t="n">
        <f aca="false">H79/G79</f>
        <v>39897</v>
      </c>
      <c r="Q79" s="1"/>
      <c r="R79" s="29" t="n">
        <f aca="false">R78+H79</f>
        <v>559388.02</v>
      </c>
    </row>
    <row r="80" customFormat="false" ht="13.8" hidden="false" customHeight="false" outlineLevel="0" collapsed="false">
      <c r="A80" s="13" t="s">
        <v>21</v>
      </c>
      <c r="B80" s="33" t="n">
        <v>46023</v>
      </c>
      <c r="C80" s="33" t="n">
        <v>46023</v>
      </c>
      <c r="D80" s="1"/>
      <c r="E80" s="2" t="s">
        <v>162</v>
      </c>
      <c r="F80" s="5"/>
      <c r="G80" s="4" t="n">
        <v>1</v>
      </c>
      <c r="H80" s="1"/>
      <c r="I80" s="1"/>
      <c r="J80" s="1"/>
      <c r="K80" s="1"/>
      <c r="L80" s="1"/>
      <c r="M80" s="1"/>
      <c r="N80" s="1"/>
      <c r="P80" s="28"/>
      <c r="Q80" s="28"/>
      <c r="R80" s="29"/>
    </row>
    <row r="81" customFormat="false" ht="13.8" hidden="false" customHeight="false" outlineLevel="0" collapsed="false">
      <c r="A81" s="13" t="s">
        <v>21</v>
      </c>
      <c r="B81" s="33" t="n">
        <v>46023</v>
      </c>
      <c r="C81" s="33" t="n">
        <v>46023</v>
      </c>
      <c r="D81" s="1"/>
      <c r="E81" s="2" t="s">
        <v>162</v>
      </c>
      <c r="F81" s="5"/>
      <c r="G81" s="4" t="n">
        <v>1</v>
      </c>
      <c r="H81" s="1"/>
      <c r="I81" s="1"/>
      <c r="J81" s="1"/>
      <c r="K81" s="1"/>
      <c r="L81" s="1"/>
      <c r="M81" s="1"/>
      <c r="N81" s="1"/>
      <c r="P81" s="28"/>
      <c r="Q81" s="28"/>
      <c r="R81" s="29"/>
    </row>
    <row r="82" customFormat="false" ht="13.8" hidden="false" customHeight="false" outlineLevel="0" collapsed="false">
      <c r="A82" s="1" t="s">
        <v>161</v>
      </c>
      <c r="B82" s="2" t="s">
        <v>16</v>
      </c>
      <c r="C82" s="2" t="n">
        <v>45867</v>
      </c>
      <c r="D82" s="1"/>
      <c r="E82" s="2" t="n">
        <v>45884</v>
      </c>
      <c r="F82" s="5" t="n">
        <f aca="false">DAYS360(C82,E82)</f>
        <v>16</v>
      </c>
      <c r="G82" s="4" t="n">
        <v>3</v>
      </c>
      <c r="H82" s="38" t="n">
        <f aca="false">111470+1679</f>
        <v>113149</v>
      </c>
      <c r="I82" s="35" t="n">
        <f aca="false">IF(H82&lt;0,H82,0)</f>
        <v>0</v>
      </c>
      <c r="J82" s="35" t="n">
        <f aca="false">IF(H82&gt;0,H82,0)</f>
        <v>113149</v>
      </c>
      <c r="K82" s="35" t="n">
        <f aca="false">K81+I82</f>
        <v>0</v>
      </c>
      <c r="L82" s="35" t="n">
        <f aca="false">L81+J82</f>
        <v>113149</v>
      </c>
      <c r="M82" s="35" t="n">
        <f aca="false">M81+H82</f>
        <v>113149</v>
      </c>
      <c r="O82" s="1" t="s">
        <v>242</v>
      </c>
      <c r="P82" s="28" t="n">
        <f aca="false">H82/G82</f>
        <v>37716.3333333333</v>
      </c>
      <c r="Q82" s="1"/>
      <c r="R82" s="29" t="n">
        <f aca="false">R81+H82</f>
        <v>113149</v>
      </c>
    </row>
    <row r="83" customFormat="false" ht="13.8" hidden="false" customHeight="false" outlineLevel="0" collapsed="false">
      <c r="A83" s="1" t="s">
        <v>161</v>
      </c>
      <c r="B83" s="2" t="n">
        <v>45881</v>
      </c>
      <c r="C83" s="2" t="n">
        <v>45881</v>
      </c>
      <c r="D83" s="1"/>
      <c r="E83" s="2" t="n">
        <v>45926</v>
      </c>
      <c r="F83" s="5" t="n">
        <f aca="false">DAYS360(C83,E83)</f>
        <v>44</v>
      </c>
      <c r="G83" s="4" t="n">
        <v>1</v>
      </c>
      <c r="H83" s="38" t="n">
        <f aca="false">553+39244</f>
        <v>39797</v>
      </c>
      <c r="I83" s="35" t="n">
        <f aca="false">IF(H83&lt;0,H83,0)</f>
        <v>0</v>
      </c>
      <c r="J83" s="35" t="n">
        <f aca="false">IF(H83&gt;0,H83,0)</f>
        <v>39797</v>
      </c>
      <c r="K83" s="35" t="n">
        <f aca="false">K82+I83</f>
        <v>0</v>
      </c>
      <c r="L83" s="35" t="n">
        <f aca="false">L82+J83</f>
        <v>152946</v>
      </c>
      <c r="M83" s="35" t="n">
        <f aca="false">M82+H83</f>
        <v>152946</v>
      </c>
      <c r="O83" s="1" t="s">
        <v>242</v>
      </c>
      <c r="P83" s="28" t="n">
        <f aca="false">H83/G83</f>
        <v>39797</v>
      </c>
      <c r="Q83" s="1"/>
      <c r="R83" s="29" t="n">
        <f aca="false">R82+H83</f>
        <v>152946</v>
      </c>
    </row>
    <row r="84" customFormat="false" ht="13.8" hidden="false" customHeight="false" outlineLevel="0" collapsed="false">
      <c r="A84" s="1" t="s">
        <v>161</v>
      </c>
      <c r="B84" s="2" t="n">
        <v>45923</v>
      </c>
      <c r="C84" s="2" t="n">
        <v>45923</v>
      </c>
      <c r="D84" s="1"/>
      <c r="E84" s="2" t="n">
        <v>45934</v>
      </c>
      <c r="F84" s="5" t="n">
        <f aca="false">DAYS360(C84,E84)</f>
        <v>11</v>
      </c>
      <c r="G84" s="4" t="n">
        <v>1</v>
      </c>
      <c r="H84" s="38" t="n">
        <f aca="false">557+39325</f>
        <v>39882</v>
      </c>
      <c r="I84" s="35" t="n">
        <f aca="false">IF(H84&lt;0,H84,0)</f>
        <v>0</v>
      </c>
      <c r="J84" s="35" t="n">
        <f aca="false">IF(H84&gt;0,H84,0)</f>
        <v>39882</v>
      </c>
      <c r="K84" s="35" t="n">
        <f aca="false">K83+I84</f>
        <v>0</v>
      </c>
      <c r="L84" s="35" t="n">
        <f aca="false">L83+J84</f>
        <v>192828</v>
      </c>
      <c r="M84" s="35" t="n">
        <f aca="false">M83+H84</f>
        <v>192828</v>
      </c>
      <c r="O84" s="1" t="s">
        <v>242</v>
      </c>
      <c r="P84" s="28" t="n">
        <f aca="false">H84/G84</f>
        <v>39882</v>
      </c>
      <c r="Q84" s="1"/>
      <c r="R84" s="29" t="n">
        <f aca="false">R83+H84</f>
        <v>192828</v>
      </c>
    </row>
    <row r="85" customFormat="false" ht="13.8" hidden="false" customHeight="false" outlineLevel="0" collapsed="false">
      <c r="A85" s="1" t="s">
        <v>161</v>
      </c>
      <c r="B85" s="2" t="n">
        <v>45895</v>
      </c>
      <c r="C85" s="2" t="n">
        <v>45895</v>
      </c>
      <c r="D85" s="1"/>
      <c r="E85" s="2" t="n">
        <v>45939</v>
      </c>
      <c r="F85" s="5" t="n">
        <f aca="false">DAYS360(C85,E85)</f>
        <v>43</v>
      </c>
      <c r="G85" s="4" t="n">
        <v>1</v>
      </c>
      <c r="H85" s="38" t="n">
        <f aca="false">39325+553</f>
        <v>39878</v>
      </c>
      <c r="I85" s="35" t="n">
        <f aca="false">IF(H85&lt;0,H85,0)</f>
        <v>0</v>
      </c>
      <c r="J85" s="35" t="n">
        <f aca="false">IF(H85&gt;0,H85,0)</f>
        <v>39878</v>
      </c>
      <c r="K85" s="35" t="n">
        <f aca="false">K84+I85</f>
        <v>0</v>
      </c>
      <c r="L85" s="35" t="n">
        <f aca="false">L84+J85</f>
        <v>232706</v>
      </c>
      <c r="M85" s="35" t="n">
        <f aca="false">M84+H85</f>
        <v>232706</v>
      </c>
      <c r="O85" s="1" t="s">
        <v>242</v>
      </c>
      <c r="P85" s="28" t="n">
        <f aca="false">H85/G85</f>
        <v>39878</v>
      </c>
      <c r="Q85" s="1"/>
      <c r="R85" s="29" t="n">
        <f aca="false">R84+H85</f>
        <v>232706</v>
      </c>
    </row>
    <row r="86" customFormat="false" ht="13.8" hidden="false" customHeight="false" outlineLevel="0" collapsed="false">
      <c r="A86" s="1" t="s">
        <v>161</v>
      </c>
      <c r="B86" s="2" t="n">
        <v>45909</v>
      </c>
      <c r="C86" s="2" t="n">
        <v>45909</v>
      </c>
      <c r="D86" s="1"/>
      <c r="E86" s="2" t="n">
        <v>45944</v>
      </c>
      <c r="F86" s="5" t="n">
        <f aca="false">DAYS360(C86,E86)</f>
        <v>35</v>
      </c>
      <c r="G86" s="4" t="n">
        <v>1</v>
      </c>
      <c r="H86" s="38" t="n">
        <f aca="false">573+39325</f>
        <v>39898</v>
      </c>
      <c r="I86" s="35" t="n">
        <f aca="false">IF(H86&lt;0,H86,0)</f>
        <v>0</v>
      </c>
      <c r="J86" s="35" t="n">
        <f aca="false">IF(H86&gt;0,H86,0)</f>
        <v>39898</v>
      </c>
      <c r="K86" s="35" t="n">
        <f aca="false">K85+I86</f>
        <v>0</v>
      </c>
      <c r="L86" s="35" t="n">
        <f aca="false">L85+J86</f>
        <v>272604</v>
      </c>
      <c r="M86" s="35" t="n">
        <f aca="false">M85+H86</f>
        <v>272604</v>
      </c>
      <c r="O86" s="1" t="s">
        <v>242</v>
      </c>
      <c r="P86" s="28" t="n">
        <f aca="false">H86/G86</f>
        <v>39898</v>
      </c>
      <c r="Q86" s="1"/>
      <c r="R86" s="29" t="n">
        <f aca="false">R85+H86</f>
        <v>272604</v>
      </c>
    </row>
    <row r="87" customFormat="false" ht="13.8" hidden="false" customHeight="false" outlineLevel="0" collapsed="false">
      <c r="A87" s="1" t="s">
        <v>161</v>
      </c>
      <c r="B87" s="2" t="n">
        <v>45938</v>
      </c>
      <c r="C87" s="2" t="n">
        <v>45938</v>
      </c>
      <c r="D87" s="1"/>
      <c r="E87" s="2" t="n">
        <v>45958</v>
      </c>
      <c r="F87" s="5" t="n">
        <f aca="false">DAYS360(C87,E87)</f>
        <v>20</v>
      </c>
      <c r="G87" s="4" t="n">
        <v>1</v>
      </c>
      <c r="H87" s="38" t="n">
        <f aca="false">573+39325</f>
        <v>39898</v>
      </c>
      <c r="I87" s="35" t="n">
        <f aca="false">IF(H87&lt;0,H87,0)</f>
        <v>0</v>
      </c>
      <c r="J87" s="35" t="n">
        <f aca="false">IF(H87&gt;0,H87,0)</f>
        <v>39898</v>
      </c>
      <c r="K87" s="35" t="n">
        <f aca="false">K86+I87</f>
        <v>0</v>
      </c>
      <c r="L87" s="35" t="n">
        <f aca="false">L86+J87</f>
        <v>312502</v>
      </c>
      <c r="M87" s="35" t="n">
        <f aca="false">M86+H87</f>
        <v>312502</v>
      </c>
      <c r="O87" s="1" t="s">
        <v>242</v>
      </c>
      <c r="P87" s="28" t="n">
        <f aca="false">H87/G87</f>
        <v>39898</v>
      </c>
      <c r="Q87" s="1"/>
      <c r="R87" s="29" t="n">
        <f aca="false">R86+H87</f>
        <v>312502</v>
      </c>
    </row>
    <row r="88" customFormat="false" ht="13.8" hidden="false" customHeight="false" outlineLevel="0" collapsed="false">
      <c r="A88" s="1" t="s">
        <v>161</v>
      </c>
      <c r="B88" s="2" t="n">
        <v>45953</v>
      </c>
      <c r="C88" s="2" t="n">
        <v>45953</v>
      </c>
      <c r="D88" s="1"/>
      <c r="E88" s="2" t="n">
        <v>45962</v>
      </c>
      <c r="F88" s="5" t="n">
        <f aca="false">DAYS360(C88,E88)</f>
        <v>8</v>
      </c>
      <c r="G88" s="4" t="n">
        <v>1</v>
      </c>
      <c r="H88" s="38" t="n">
        <f aca="false">573+39325</f>
        <v>39898</v>
      </c>
      <c r="I88" s="35" t="n">
        <f aca="false">IF(H88&lt;0,H88,0)</f>
        <v>0</v>
      </c>
      <c r="J88" s="35" t="n">
        <f aca="false">IF(H88&gt;0,H88,0)</f>
        <v>39898</v>
      </c>
      <c r="K88" s="35" t="n">
        <f aca="false">K87+I88</f>
        <v>0</v>
      </c>
      <c r="L88" s="35" t="n">
        <f aca="false">L87+J88</f>
        <v>352400</v>
      </c>
      <c r="M88" s="35" t="n">
        <f aca="false">M87+H88</f>
        <v>352400</v>
      </c>
      <c r="O88" s="1" t="s">
        <v>242</v>
      </c>
      <c r="P88" s="28" t="n">
        <f aca="false">H88/G88</f>
        <v>39898</v>
      </c>
      <c r="Q88" s="1"/>
      <c r="R88" s="29" t="n">
        <f aca="false">R87+H88</f>
        <v>352400</v>
      </c>
    </row>
    <row r="89" customFormat="false" ht="13.8" hidden="false" customHeight="false" outlineLevel="0" collapsed="false">
      <c r="A89" s="7" t="s">
        <v>161</v>
      </c>
      <c r="B89" s="8" t="n">
        <v>45967</v>
      </c>
      <c r="C89" s="8" t="n">
        <v>45967</v>
      </c>
      <c r="D89" s="1"/>
      <c r="E89" s="8" t="n">
        <v>45975</v>
      </c>
      <c r="F89" s="5" t="n">
        <f aca="false">DAYS360(C89,E89)</f>
        <v>8</v>
      </c>
      <c r="G89" s="4" t="n">
        <v>1</v>
      </c>
      <c r="H89" s="42" t="n">
        <v>2311</v>
      </c>
      <c r="I89" s="35" t="n">
        <f aca="false">IF(H89&lt;0,H89,0)</f>
        <v>0</v>
      </c>
      <c r="J89" s="35" t="n">
        <f aca="false">IF(H89&gt;0,H89,0)</f>
        <v>2311</v>
      </c>
      <c r="K89" s="35" t="n">
        <f aca="false">K88+I89</f>
        <v>0</v>
      </c>
      <c r="L89" s="35" t="n">
        <f aca="false">L88+J89</f>
        <v>354711</v>
      </c>
      <c r="M89" s="35" t="n">
        <f aca="false">M88+H89</f>
        <v>354711</v>
      </c>
      <c r="O89" s="7" t="s">
        <v>251</v>
      </c>
      <c r="P89" s="28" t="n">
        <f aca="false">H89/G89</f>
        <v>2311</v>
      </c>
      <c r="Q89" s="28" t="s">
        <v>254</v>
      </c>
      <c r="R89" s="29" t="n">
        <f aca="false">R88+H89</f>
        <v>354711</v>
      </c>
    </row>
    <row r="90" customFormat="false" ht="13.8" hidden="false" customHeight="false" outlineLevel="0" collapsed="false">
      <c r="A90" s="1" t="s">
        <v>161</v>
      </c>
      <c r="B90" s="43" t="n">
        <v>45981</v>
      </c>
      <c r="C90" s="2" t="n">
        <f aca="false">B90</f>
        <v>45981</v>
      </c>
      <c r="D90" s="1"/>
      <c r="E90" s="17" t="n">
        <f aca="false">C90+30</f>
        <v>46011</v>
      </c>
      <c r="F90" s="5" t="n">
        <f aca="false">DAYS360(C90,E90)</f>
        <v>30</v>
      </c>
      <c r="G90" s="4" t="n">
        <v>1</v>
      </c>
      <c r="H90" s="38" t="n">
        <v>573</v>
      </c>
      <c r="I90" s="35" t="n">
        <f aca="false">IF(H90&lt;0,H90,0)</f>
        <v>0</v>
      </c>
      <c r="J90" s="35" t="n">
        <f aca="false">IF(H90&gt;0,H90,0)</f>
        <v>573</v>
      </c>
      <c r="K90" s="35" t="n">
        <f aca="false">K89+I90</f>
        <v>0</v>
      </c>
      <c r="L90" s="35" t="n">
        <f aca="false">L89+J90</f>
        <v>355284</v>
      </c>
      <c r="M90" s="35" t="n">
        <f aca="false">M89+H90</f>
        <v>355284</v>
      </c>
      <c r="O90" s="1" t="s">
        <v>163</v>
      </c>
      <c r="P90" s="28"/>
      <c r="Q90" s="28" t="s">
        <v>164</v>
      </c>
      <c r="R90" s="29" t="n">
        <f aca="false">R89+H90</f>
        <v>355284</v>
      </c>
    </row>
    <row r="91" customFormat="false" ht="13.8" hidden="false" customHeight="false" outlineLevel="0" collapsed="false">
      <c r="A91" s="1" t="s">
        <v>161</v>
      </c>
      <c r="B91" s="43" t="n">
        <v>45995</v>
      </c>
      <c r="C91" s="2" t="n">
        <f aca="false">B91</f>
        <v>45995</v>
      </c>
      <c r="D91" s="1"/>
      <c r="E91" s="17" t="n">
        <v>46022</v>
      </c>
      <c r="F91" s="5" t="n">
        <f aca="false">DAYS360(C91,E91)</f>
        <v>27</v>
      </c>
      <c r="G91" s="4" t="n">
        <v>1</v>
      </c>
      <c r="H91" s="38" t="n">
        <f aca="false">573+39325</f>
        <v>39898</v>
      </c>
      <c r="I91" s="35" t="n">
        <f aca="false">IF(H91&lt;0,H91,0)</f>
        <v>0</v>
      </c>
      <c r="J91" s="35" t="n">
        <f aca="false">IF(H91&gt;0,H91,0)</f>
        <v>39898</v>
      </c>
      <c r="K91" s="35" t="n">
        <f aca="false">K90+I91</f>
        <v>0</v>
      </c>
      <c r="L91" s="35" t="n">
        <f aca="false">L90+J91</f>
        <v>395182</v>
      </c>
      <c r="M91" s="35" t="n">
        <f aca="false">M90+H91</f>
        <v>395182</v>
      </c>
      <c r="O91" s="1" t="s">
        <v>163</v>
      </c>
      <c r="P91" s="28"/>
      <c r="Q91" s="1"/>
      <c r="R91" s="29" t="n">
        <f aca="false">R90+H91</f>
        <v>395182</v>
      </c>
    </row>
    <row r="92" customFormat="false" ht="13.8" hidden="false" customHeight="false" outlineLevel="0" collapsed="false">
      <c r="A92" s="1" t="s">
        <v>161</v>
      </c>
      <c r="B92" s="2" t="n">
        <v>46010</v>
      </c>
      <c r="C92" s="2" t="n">
        <f aca="false">B92</f>
        <v>46010</v>
      </c>
      <c r="D92" s="1"/>
      <c r="E92" s="2" t="s">
        <v>162</v>
      </c>
      <c r="F92" s="5"/>
      <c r="G92" s="4" t="n">
        <v>1</v>
      </c>
      <c r="H92" s="1"/>
      <c r="I92" s="1"/>
      <c r="J92" s="1"/>
      <c r="K92" s="1"/>
      <c r="L92" s="1"/>
      <c r="M92" s="1"/>
      <c r="N92" s="1"/>
      <c r="O92" s="1" t="s">
        <v>163</v>
      </c>
      <c r="P92" s="28"/>
      <c r="Q92" s="28" t="s">
        <v>164</v>
      </c>
      <c r="R92" s="29" t="n">
        <f aca="false">R91+H92</f>
        <v>395182</v>
      </c>
    </row>
    <row r="93" customFormat="false" ht="13.8" hidden="false" customHeight="false" outlineLevel="0" collapsed="false">
      <c r="A93" s="13" t="s">
        <v>12</v>
      </c>
      <c r="B93" s="33" t="n">
        <v>46031</v>
      </c>
      <c r="C93" s="33" t="n">
        <v>46031</v>
      </c>
      <c r="D93" s="1"/>
      <c r="E93" s="2" t="s">
        <v>162</v>
      </c>
      <c r="F93" s="1"/>
      <c r="G93" s="4" t="n">
        <v>1</v>
      </c>
      <c r="H93" s="28"/>
      <c r="I93" s="28"/>
      <c r="J93" s="28"/>
      <c r="K93" s="28"/>
      <c r="L93" s="28"/>
      <c r="M93" s="28"/>
      <c r="N93" s="28"/>
      <c r="P93" s="28"/>
      <c r="Q93" s="1"/>
      <c r="R93" s="1"/>
    </row>
    <row r="94" customFormat="false" ht="13.8" hidden="false" customHeight="false" outlineLevel="0" collapsed="false">
      <c r="A94" s="13" t="s">
        <v>12</v>
      </c>
      <c r="B94" s="33" t="n">
        <v>46045</v>
      </c>
      <c r="C94" s="33" t="n">
        <v>46045</v>
      </c>
      <c r="D94" s="1"/>
      <c r="E94" s="2" t="s">
        <v>162</v>
      </c>
      <c r="F94" s="1"/>
      <c r="G94" s="4" t="n">
        <v>1</v>
      </c>
      <c r="H94" s="28"/>
      <c r="I94" s="28"/>
      <c r="J94" s="28"/>
      <c r="K94" s="28"/>
      <c r="L94" s="28"/>
      <c r="M94" s="28"/>
      <c r="N94" s="28"/>
      <c r="P94" s="28"/>
      <c r="Q94" s="1"/>
      <c r="R94" s="1"/>
    </row>
    <row r="95" customFormat="false" ht="13.8" hidden="false" customHeight="false" outlineLevel="0" collapsed="false">
      <c r="A95" s="1" t="s">
        <v>230</v>
      </c>
      <c r="B95" s="2" t="n">
        <v>45825</v>
      </c>
      <c r="C95" s="2" t="n">
        <v>45825</v>
      </c>
      <c r="D95" s="1"/>
      <c r="E95" s="2" t="n">
        <v>45870</v>
      </c>
      <c r="F95" s="5" t="n">
        <f aca="false">DAYS360(C95,E95)</f>
        <v>44</v>
      </c>
      <c r="G95" s="4" t="n">
        <v>1</v>
      </c>
      <c r="H95" s="38" t="n">
        <f aca="false">1615+29160</f>
        <v>30775</v>
      </c>
      <c r="I95" s="35" t="n">
        <f aca="false">IF(H95&lt;0,H95,0)</f>
        <v>0</v>
      </c>
      <c r="J95" s="35" t="n">
        <f aca="false">IF(H95&gt;0,H95,0)</f>
        <v>30775</v>
      </c>
      <c r="K95" s="35" t="n">
        <f aca="false">K94+I95</f>
        <v>0</v>
      </c>
      <c r="L95" s="35" t="n">
        <f aca="false">L94+J95</f>
        <v>30775</v>
      </c>
      <c r="M95" s="35" t="n">
        <f aca="false">M94+H95</f>
        <v>30775</v>
      </c>
      <c r="O95" s="1" t="s">
        <v>255</v>
      </c>
      <c r="P95" s="28" t="n">
        <f aca="false">H95/G95</f>
        <v>30775</v>
      </c>
      <c r="Q95" s="1"/>
      <c r="R95" s="29" t="n">
        <f aca="false">R94+H95</f>
        <v>30775</v>
      </c>
    </row>
    <row r="96" customFormat="false" ht="13.8" hidden="false" customHeight="false" outlineLevel="0" collapsed="false">
      <c r="A96" s="1" t="s">
        <v>230</v>
      </c>
      <c r="B96" s="2" t="s">
        <v>16</v>
      </c>
      <c r="C96" s="2" t="n">
        <v>45867</v>
      </c>
      <c r="D96" s="1"/>
      <c r="E96" s="2" t="n">
        <v>45883</v>
      </c>
      <c r="F96" s="5" t="n">
        <f aca="false">DAYS360(C96,E96)</f>
        <v>15</v>
      </c>
      <c r="G96" s="4" t="n">
        <v>3</v>
      </c>
      <c r="H96" s="38" t="n">
        <f aca="false">88027+1633</f>
        <v>89660</v>
      </c>
      <c r="I96" s="35" t="n">
        <f aca="false">IF(H96&lt;0,H96,0)</f>
        <v>0</v>
      </c>
      <c r="J96" s="35" t="n">
        <f aca="false">IF(H96&gt;0,H96,0)</f>
        <v>89660</v>
      </c>
      <c r="K96" s="35" t="n">
        <f aca="false">K95+I96</f>
        <v>0</v>
      </c>
      <c r="L96" s="35" t="n">
        <f aca="false">L95+J96</f>
        <v>120435</v>
      </c>
      <c r="M96" s="35" t="n">
        <f aca="false">M95+H96</f>
        <v>120435</v>
      </c>
      <c r="O96" s="1" t="s">
        <v>255</v>
      </c>
      <c r="P96" s="28" t="n">
        <f aca="false">H96/G96</f>
        <v>29886.6666666667</v>
      </c>
      <c r="Q96" s="1"/>
      <c r="R96" s="29" t="n">
        <f aca="false">R95+H96</f>
        <v>120435</v>
      </c>
    </row>
    <row r="97" customFormat="false" ht="13.8" hidden="false" customHeight="false" outlineLevel="0" collapsed="false">
      <c r="A97" s="1" t="s">
        <v>230</v>
      </c>
      <c r="B97" s="2" t="n">
        <v>45882</v>
      </c>
      <c r="C97" s="2" t="n">
        <v>45882</v>
      </c>
      <c r="D97" s="1"/>
      <c r="E97" s="2" t="n">
        <v>45902</v>
      </c>
      <c r="F97" s="5" t="n">
        <f aca="false">DAYS360(C97,E97)</f>
        <v>19</v>
      </c>
      <c r="G97" s="4" t="n">
        <v>1</v>
      </c>
      <c r="H97" s="38" t="n">
        <v>30186</v>
      </c>
      <c r="I97" s="35" t="n">
        <f aca="false">IF(H97&lt;0,H97,0)</f>
        <v>0</v>
      </c>
      <c r="J97" s="35" t="n">
        <f aca="false">IF(H97&gt;0,H97,0)</f>
        <v>30186</v>
      </c>
      <c r="K97" s="35" t="n">
        <f aca="false">K96+I97</f>
        <v>0</v>
      </c>
      <c r="L97" s="35" t="n">
        <f aca="false">L96+J97</f>
        <v>150621</v>
      </c>
      <c r="M97" s="35" t="n">
        <f aca="false">M96+H97</f>
        <v>150621</v>
      </c>
      <c r="O97" s="1" t="s">
        <v>255</v>
      </c>
      <c r="P97" s="28" t="n">
        <f aca="false">H97/G97</f>
        <v>30186</v>
      </c>
      <c r="Q97" s="1"/>
      <c r="R97" s="29" t="n">
        <f aca="false">R96+H97</f>
        <v>150621</v>
      </c>
    </row>
    <row r="98" customFormat="false" ht="13.8" hidden="false" customHeight="false" outlineLevel="0" collapsed="false">
      <c r="A98" s="7" t="s">
        <v>230</v>
      </c>
      <c r="B98" s="8" t="n">
        <v>45898</v>
      </c>
      <c r="C98" s="2" t="n">
        <f aca="false">B98</f>
        <v>45898</v>
      </c>
      <c r="D98" s="1"/>
      <c r="E98" s="2" t="n">
        <f aca="false">C98+31</f>
        <v>45929</v>
      </c>
      <c r="F98" s="5" t="s">
        <v>256</v>
      </c>
      <c r="G98" s="4" t="n">
        <v>1</v>
      </c>
      <c r="H98" s="42" t="n">
        <f aca="false">1060+514</f>
        <v>1574</v>
      </c>
      <c r="I98" s="35" t="n">
        <f aca="false">IF(H98&lt;0,H98,0)</f>
        <v>0</v>
      </c>
      <c r="J98" s="35" t="n">
        <f aca="false">IF(H98&gt;0,H98,0)</f>
        <v>1574</v>
      </c>
      <c r="K98" s="35" t="n">
        <f aca="false">K97+I98</f>
        <v>0</v>
      </c>
      <c r="L98" s="35" t="n">
        <f aca="false">L97+J98</f>
        <v>152195</v>
      </c>
      <c r="M98" s="35" t="n">
        <f aca="false">M97+H98</f>
        <v>152195</v>
      </c>
      <c r="P98" s="28"/>
      <c r="Q98" s="28" t="s">
        <v>257</v>
      </c>
      <c r="R98" s="29" t="n">
        <f aca="false">R97+H98</f>
        <v>152195</v>
      </c>
    </row>
    <row r="99" customFormat="false" ht="13.8" hidden="false" customHeight="false" outlineLevel="0" collapsed="false">
      <c r="A99" s="7" t="s">
        <v>230</v>
      </c>
      <c r="B99" s="8" t="n">
        <v>45929</v>
      </c>
      <c r="C99" s="8" t="n">
        <v>45929</v>
      </c>
      <c r="D99" s="1"/>
      <c r="E99" s="8" t="n">
        <v>45939</v>
      </c>
      <c r="F99" s="5" t="n">
        <f aca="false">DAYS360(C99,E99)</f>
        <v>10</v>
      </c>
      <c r="G99" s="4" t="n">
        <v>1</v>
      </c>
      <c r="H99" s="42" t="n">
        <f aca="false">1060+514</f>
        <v>1574</v>
      </c>
      <c r="I99" s="35" t="n">
        <f aca="false">IF(H99&lt;0,H99,0)</f>
        <v>0</v>
      </c>
      <c r="J99" s="35" t="n">
        <f aca="false">IF(H99&gt;0,H99,0)</f>
        <v>1574</v>
      </c>
      <c r="K99" s="35" t="n">
        <f aca="false">K98+I99</f>
        <v>0</v>
      </c>
      <c r="L99" s="35" t="n">
        <f aca="false">L98+J99</f>
        <v>153769</v>
      </c>
      <c r="M99" s="35" t="n">
        <f aca="false">M98+H99</f>
        <v>153769</v>
      </c>
      <c r="O99" s="7" t="s">
        <v>258</v>
      </c>
      <c r="P99" s="28" t="n">
        <f aca="false">H99/G99</f>
        <v>1574</v>
      </c>
      <c r="Q99" s="28" t="s">
        <v>257</v>
      </c>
      <c r="R99" s="29" t="n">
        <f aca="false">R98+H99</f>
        <v>153769</v>
      </c>
    </row>
    <row r="100" customFormat="false" ht="13.8" hidden="false" customHeight="false" outlineLevel="0" collapsed="false">
      <c r="A100" s="7" t="s">
        <v>230</v>
      </c>
      <c r="B100" s="8" t="n">
        <v>45915</v>
      </c>
      <c r="C100" s="8" t="n">
        <v>45915</v>
      </c>
      <c r="D100" s="1"/>
      <c r="E100" s="8" t="n">
        <v>45946</v>
      </c>
      <c r="F100" s="10" t="n">
        <f aca="false">DAYS360(C100,E100)</f>
        <v>31</v>
      </c>
      <c r="G100" s="11" t="n">
        <v>1</v>
      </c>
      <c r="H100" s="42" t="n">
        <f aca="false">1060+514</f>
        <v>1574</v>
      </c>
      <c r="I100" s="35" t="n">
        <f aca="false">IF(H100&lt;0,H100,0)</f>
        <v>0</v>
      </c>
      <c r="J100" s="35" t="n">
        <f aca="false">IF(H100&gt;0,H100,0)</f>
        <v>1574</v>
      </c>
      <c r="K100" s="35" t="n">
        <f aca="false">K99+I100</f>
        <v>0</v>
      </c>
      <c r="L100" s="35" t="n">
        <f aca="false">L99+J100</f>
        <v>155343</v>
      </c>
      <c r="M100" s="35" t="n">
        <f aca="false">M99+H100</f>
        <v>155343</v>
      </c>
      <c r="O100" s="7" t="s">
        <v>258</v>
      </c>
      <c r="P100" s="28" t="n">
        <f aca="false">H100/G100</f>
        <v>1574</v>
      </c>
      <c r="Q100" s="28" t="s">
        <v>257</v>
      </c>
      <c r="R100" s="29" t="n">
        <f aca="false">R99+H100</f>
        <v>155343</v>
      </c>
    </row>
    <row r="101" customFormat="false" ht="13.8" hidden="false" customHeight="false" outlineLevel="0" collapsed="false">
      <c r="A101" s="7" t="s">
        <v>230</v>
      </c>
      <c r="B101" s="8" t="n">
        <v>45943</v>
      </c>
      <c r="C101" s="8" t="n">
        <v>45943</v>
      </c>
      <c r="D101" s="1"/>
      <c r="E101" s="8" t="n">
        <v>45953</v>
      </c>
      <c r="F101" s="5" t="n">
        <f aca="false">DAYS360(C101,E101)</f>
        <v>10</v>
      </c>
      <c r="G101" s="4" t="n">
        <v>1</v>
      </c>
      <c r="H101" s="42" t="n">
        <f aca="false">1060+514</f>
        <v>1574</v>
      </c>
      <c r="I101" s="35" t="n">
        <f aca="false">IF(H101&lt;0,H101,0)</f>
        <v>0</v>
      </c>
      <c r="J101" s="35" t="n">
        <f aca="false">IF(H101&gt;0,H101,0)</f>
        <v>1574</v>
      </c>
      <c r="K101" s="35" t="n">
        <f aca="false">K100+I101</f>
        <v>0</v>
      </c>
      <c r="L101" s="35" t="n">
        <f aca="false">L100+J101</f>
        <v>156917</v>
      </c>
      <c r="M101" s="35" t="n">
        <f aca="false">M100+H101</f>
        <v>156917</v>
      </c>
      <c r="O101" s="7" t="s">
        <v>258</v>
      </c>
      <c r="P101" s="28" t="n">
        <f aca="false">H101/G101</f>
        <v>1574</v>
      </c>
      <c r="Q101" s="28" t="s">
        <v>257</v>
      </c>
      <c r="R101" s="29" t="n">
        <f aca="false">R100+H101</f>
        <v>156917</v>
      </c>
    </row>
    <row r="102" customFormat="false" ht="13.8" hidden="false" customHeight="false" outlineLevel="0" collapsed="false">
      <c r="A102" s="7" t="s">
        <v>230</v>
      </c>
      <c r="B102" s="8" t="n">
        <v>45957</v>
      </c>
      <c r="C102" s="8" t="n">
        <f aca="false">B102</f>
        <v>45957</v>
      </c>
      <c r="D102" s="7"/>
      <c r="E102" s="8" t="n">
        <v>45978</v>
      </c>
      <c r="F102" s="10" t="n">
        <f aca="false">DAYS360(C102,E102)</f>
        <v>20</v>
      </c>
      <c r="G102" s="11" t="n">
        <v>1</v>
      </c>
      <c r="H102" s="42" t="n">
        <f aca="false">1060+514</f>
        <v>1574</v>
      </c>
      <c r="I102" s="35" t="n">
        <f aca="false">IF(H102&lt;0,H102,0)</f>
        <v>0</v>
      </c>
      <c r="J102" s="35" t="n">
        <f aca="false">IF(H102&gt;0,H102,0)</f>
        <v>1574</v>
      </c>
      <c r="K102" s="35" t="n">
        <f aca="false">K101+I102</f>
        <v>0</v>
      </c>
      <c r="L102" s="35" t="n">
        <f aca="false">L101+J102</f>
        <v>158491</v>
      </c>
      <c r="M102" s="35" t="n">
        <f aca="false">M101+H102</f>
        <v>158491</v>
      </c>
      <c r="O102" s="7" t="s">
        <v>258</v>
      </c>
      <c r="P102" s="28" t="n">
        <f aca="false">H102/G102</f>
        <v>1574</v>
      </c>
      <c r="Q102" s="28" t="s">
        <v>257</v>
      </c>
      <c r="R102" s="29" t="n">
        <f aca="false">R101+H102</f>
        <v>158491</v>
      </c>
    </row>
    <row r="103" customFormat="false" ht="13.8" hidden="false" customHeight="false" outlineLevel="0" collapsed="false">
      <c r="A103" s="1" t="s">
        <v>169</v>
      </c>
      <c r="B103" s="2" t="n">
        <v>45937</v>
      </c>
      <c r="C103" s="2" t="n">
        <v>45937</v>
      </c>
      <c r="D103" s="1"/>
      <c r="E103" s="2" t="n">
        <v>45971</v>
      </c>
      <c r="F103" s="5" t="n">
        <f aca="false">DAYS360(C103,E103)</f>
        <v>33</v>
      </c>
      <c r="G103" s="4" t="n">
        <v>1</v>
      </c>
      <c r="H103" s="38" t="n">
        <v>23123</v>
      </c>
      <c r="I103" s="35" t="n">
        <f aca="false">IF(H103&lt;0,H103,0)</f>
        <v>0</v>
      </c>
      <c r="J103" s="35" t="n">
        <f aca="false">IF(H103&gt;0,H103,0)</f>
        <v>23123</v>
      </c>
      <c r="K103" s="35" t="n">
        <f aca="false">K102+I103</f>
        <v>0</v>
      </c>
      <c r="L103" s="35" t="n">
        <f aca="false">L102+J103</f>
        <v>181614</v>
      </c>
      <c r="M103" s="35" t="n">
        <f aca="false">M102+H103</f>
        <v>181614</v>
      </c>
      <c r="O103" s="7" t="s">
        <v>259</v>
      </c>
      <c r="P103" s="28" t="n">
        <f aca="false">H103/G103</f>
        <v>23123</v>
      </c>
      <c r="Q103" s="1"/>
      <c r="R103" s="29" t="n">
        <f aca="false">R102+H103</f>
        <v>181614</v>
      </c>
    </row>
    <row r="104" customFormat="false" ht="13.8" hidden="false" customHeight="false" outlineLevel="0" collapsed="false">
      <c r="A104" s="1" t="s">
        <v>169</v>
      </c>
      <c r="B104" s="2" t="n">
        <v>45951</v>
      </c>
      <c r="C104" s="2" t="n">
        <v>45951</v>
      </c>
      <c r="D104" s="1"/>
      <c r="E104" s="2" t="n">
        <v>45985</v>
      </c>
      <c r="F104" s="5" t="n">
        <f aca="false">DAYS360(C104,E104)</f>
        <v>33</v>
      </c>
      <c r="G104" s="4" t="n">
        <v>1</v>
      </c>
      <c r="H104" s="38" t="n">
        <f aca="false">28683</f>
        <v>28683</v>
      </c>
      <c r="I104" s="35" t="n">
        <f aca="false">IF(H104&lt;0,H104,0)</f>
        <v>0</v>
      </c>
      <c r="J104" s="35" t="n">
        <f aca="false">IF(H104&gt;0,H104,0)</f>
        <v>28683</v>
      </c>
      <c r="K104" s="35" t="n">
        <f aca="false">K103+I104</f>
        <v>0</v>
      </c>
      <c r="L104" s="35" t="n">
        <f aca="false">L103+J104</f>
        <v>210297</v>
      </c>
      <c r="M104" s="35" t="n">
        <f aca="false">M103+H104</f>
        <v>210297</v>
      </c>
      <c r="O104" s="41" t="s">
        <v>259</v>
      </c>
      <c r="P104" s="28" t="n">
        <f aca="false">H104/G104</f>
        <v>28683</v>
      </c>
      <c r="Q104" s="1"/>
      <c r="R104" s="29" t="n">
        <f aca="false">R103+H104</f>
        <v>210297</v>
      </c>
    </row>
    <row r="105" customFormat="false" ht="13.8" hidden="false" customHeight="false" outlineLevel="0" collapsed="false">
      <c r="A105" s="1" t="s">
        <v>169</v>
      </c>
      <c r="B105" s="2" t="n">
        <v>45965</v>
      </c>
      <c r="C105" s="2" t="n">
        <v>45965</v>
      </c>
      <c r="D105" s="1"/>
      <c r="E105" s="2" t="n">
        <v>45996</v>
      </c>
      <c r="F105" s="5" t="n">
        <f aca="false">DAYS360(C105,E105)</f>
        <v>31</v>
      </c>
      <c r="G105" s="4" t="n">
        <v>1</v>
      </c>
      <c r="H105" s="38" t="n">
        <v>28997</v>
      </c>
      <c r="I105" s="35" t="n">
        <f aca="false">IF(H105&lt;0,H105,0)</f>
        <v>0</v>
      </c>
      <c r="J105" s="35" t="n">
        <f aca="false">IF(H105&gt;0,H105,0)</f>
        <v>28997</v>
      </c>
      <c r="K105" s="35" t="n">
        <f aca="false">K104+I105</f>
        <v>0</v>
      </c>
      <c r="L105" s="35" t="n">
        <f aca="false">L104+J105</f>
        <v>239294</v>
      </c>
      <c r="M105" s="35" t="n">
        <f aca="false">M104+H105</f>
        <v>239294</v>
      </c>
      <c r="O105" s="41" t="s">
        <v>259</v>
      </c>
      <c r="P105" s="28" t="n">
        <f aca="false">H105/G105</f>
        <v>28997</v>
      </c>
      <c r="Q105" s="1"/>
      <c r="R105" s="29" t="n">
        <f aca="false">R104+H105</f>
        <v>239294</v>
      </c>
    </row>
    <row r="106" customFormat="false" ht="13.8" hidden="false" customHeight="false" outlineLevel="0" collapsed="false">
      <c r="A106" s="1" t="s">
        <v>169</v>
      </c>
      <c r="B106" s="2" t="n">
        <v>45979</v>
      </c>
      <c r="C106" s="2" t="n">
        <f aca="false">B106</f>
        <v>45979</v>
      </c>
      <c r="D106" s="1"/>
      <c r="E106" s="2" t="n">
        <v>46013</v>
      </c>
      <c r="F106" s="5" t="n">
        <f aca="false">DAYS360(C106,E106)</f>
        <v>34</v>
      </c>
      <c r="G106" s="4" t="n">
        <v>1</v>
      </c>
      <c r="H106" s="35" t="n">
        <v>28997</v>
      </c>
      <c r="I106" s="35" t="n">
        <f aca="false">IF(H106&lt;0,H106,0)</f>
        <v>0</v>
      </c>
      <c r="J106" s="35" t="n">
        <f aca="false">IF(H106&gt;0,H106,0)</f>
        <v>28997</v>
      </c>
      <c r="K106" s="35" t="n">
        <f aca="false">K105+I106</f>
        <v>0</v>
      </c>
      <c r="L106" s="35" t="n">
        <f aca="false">L105+J106</f>
        <v>268291</v>
      </c>
      <c r="M106" s="35" t="n">
        <f aca="false">M105+H106</f>
        <v>268291</v>
      </c>
      <c r="O106" s="41" t="s">
        <v>259</v>
      </c>
      <c r="P106" s="28" t="n">
        <f aca="false">H106/G106</f>
        <v>28997</v>
      </c>
      <c r="Q106" s="1"/>
      <c r="R106" s="29" t="n">
        <f aca="false">R105+H106</f>
        <v>268291</v>
      </c>
    </row>
    <row r="107" customFormat="false" ht="13.8" hidden="false" customHeight="false" outlineLevel="0" collapsed="false">
      <c r="A107" s="1" t="s">
        <v>169</v>
      </c>
      <c r="B107" s="2" t="n">
        <v>45993</v>
      </c>
      <c r="C107" s="2" t="n">
        <f aca="false">B107</f>
        <v>45993</v>
      </c>
      <c r="D107" s="1"/>
      <c r="E107" s="2" t="n">
        <v>46027</v>
      </c>
      <c r="F107" s="5" t="n">
        <f aca="false">DAYS360(C107,E107)</f>
        <v>33</v>
      </c>
      <c r="G107" s="4" t="n">
        <v>1</v>
      </c>
      <c r="H107" s="35" t="n">
        <v>28997</v>
      </c>
      <c r="I107" s="35" t="n">
        <f aca="false">IF(H107&lt;0,H107,0)</f>
        <v>0</v>
      </c>
      <c r="J107" s="35" t="n">
        <f aca="false">IF(H107&gt;0,H107,0)</f>
        <v>28997</v>
      </c>
      <c r="K107" s="35" t="n">
        <f aca="false">K106+I107</f>
        <v>0</v>
      </c>
      <c r="L107" s="35" t="n">
        <f aca="false">L106+J107</f>
        <v>297288</v>
      </c>
      <c r="M107" s="35" t="n">
        <f aca="false">M106+H107</f>
        <v>297288</v>
      </c>
      <c r="O107" s="41" t="s">
        <v>259</v>
      </c>
      <c r="P107" s="28" t="n">
        <f aca="false">H107/G107</f>
        <v>28997</v>
      </c>
      <c r="Q107" s="1"/>
      <c r="R107" s="29" t="n">
        <f aca="false">R106+H107</f>
        <v>297288</v>
      </c>
    </row>
    <row r="108" customFormat="false" ht="13.8" hidden="false" customHeight="false" outlineLevel="0" collapsed="false">
      <c r="A108" s="1" t="s">
        <v>169</v>
      </c>
      <c r="B108" s="2" t="n">
        <v>46007</v>
      </c>
      <c r="C108" s="2" t="n">
        <f aca="false">B108</f>
        <v>46007</v>
      </c>
      <c r="D108" s="1" t="s">
        <v>260</v>
      </c>
      <c r="E108" s="2" t="n">
        <f aca="false">C108+30</f>
        <v>46037</v>
      </c>
      <c r="F108" s="5"/>
      <c r="G108" s="4" t="n">
        <v>1</v>
      </c>
      <c r="H108" s="36" t="n">
        <v>28997.78</v>
      </c>
      <c r="I108" s="35" t="n">
        <f aca="false">IF(H108&lt;0,H108,0)</f>
        <v>0</v>
      </c>
      <c r="J108" s="35" t="n">
        <f aca="false">IF(H108&gt;0,H108,0)</f>
        <v>28997.78</v>
      </c>
      <c r="K108" s="35" t="n">
        <f aca="false">K107+I108</f>
        <v>0</v>
      </c>
      <c r="L108" s="35" t="n">
        <f aca="false">L107+J108</f>
        <v>326285.78</v>
      </c>
      <c r="M108" s="35" t="n">
        <f aca="false">M107+H108</f>
        <v>326285.78</v>
      </c>
      <c r="P108" s="28"/>
      <c r="Q108" s="28" t="s">
        <v>164</v>
      </c>
      <c r="R108" s="29" t="n">
        <f aca="false">R107+H108</f>
        <v>326285.78</v>
      </c>
    </row>
    <row r="109" customFormat="false" ht="13.8" hidden="false" customHeight="false" outlineLevel="0" collapsed="false">
      <c r="A109" s="13" t="s">
        <v>169</v>
      </c>
      <c r="B109" s="33" t="n">
        <v>46028</v>
      </c>
      <c r="C109" s="33" t="n">
        <v>46028</v>
      </c>
      <c r="D109" s="1"/>
      <c r="E109" s="2" t="s">
        <v>162</v>
      </c>
      <c r="F109" s="1"/>
      <c r="G109" s="4" t="n">
        <v>1</v>
      </c>
      <c r="H109" s="28"/>
      <c r="I109" s="28"/>
      <c r="J109" s="28"/>
      <c r="K109" s="28"/>
      <c r="L109" s="28"/>
      <c r="M109" s="28"/>
      <c r="N109" s="28"/>
      <c r="P109" s="28"/>
      <c r="Q109" s="1"/>
      <c r="R109" s="1"/>
    </row>
    <row r="110" customFormat="false" ht="13.8" hidden="false" customHeight="false" outlineLevel="0" collapsed="false">
      <c r="A110" s="13" t="s">
        <v>169</v>
      </c>
      <c r="B110" s="33" t="n">
        <v>46042</v>
      </c>
      <c r="C110" s="33" t="n">
        <v>46042</v>
      </c>
      <c r="D110" s="1"/>
      <c r="E110" s="2" t="s">
        <v>162</v>
      </c>
      <c r="F110" s="1"/>
      <c r="G110" s="4" t="n">
        <v>1</v>
      </c>
      <c r="H110" s="28"/>
      <c r="I110" s="28"/>
      <c r="J110" s="28"/>
      <c r="K110" s="28"/>
      <c r="L110" s="28"/>
      <c r="M110" s="28"/>
      <c r="N110" s="28"/>
      <c r="P110" s="28"/>
      <c r="Q110" s="1"/>
      <c r="R110" s="1"/>
    </row>
    <row r="111" customFormat="false" ht="13.8" hidden="false" customHeight="false" outlineLevel="0" collapsed="false">
      <c r="A111" s="1" t="s">
        <v>155</v>
      </c>
      <c r="B111" s="2" t="n">
        <v>45875</v>
      </c>
      <c r="C111" s="2" t="n">
        <f aca="false">B111</f>
        <v>45875</v>
      </c>
      <c r="D111" s="1"/>
      <c r="E111" s="2" t="s">
        <v>156</v>
      </c>
      <c r="F111" s="5"/>
      <c r="G111" s="4" t="n">
        <v>1</v>
      </c>
      <c r="H111" s="1"/>
      <c r="I111" s="1"/>
      <c r="J111" s="1"/>
      <c r="K111" s="1"/>
      <c r="L111" s="1"/>
      <c r="M111" s="1"/>
      <c r="N111" s="1"/>
      <c r="P111" s="28"/>
      <c r="Q111" s="1" t="s">
        <v>157</v>
      </c>
      <c r="R111" s="29" t="n">
        <f aca="false">R110+H111</f>
        <v>0</v>
      </c>
    </row>
    <row r="112" customFormat="false" ht="13.8" hidden="false" customHeight="false" outlineLevel="0" collapsed="false">
      <c r="A112" s="1" t="s">
        <v>155</v>
      </c>
      <c r="B112" s="2" t="n">
        <v>45889</v>
      </c>
      <c r="C112" s="2" t="n">
        <f aca="false">B112</f>
        <v>45889</v>
      </c>
      <c r="D112" s="1"/>
      <c r="E112" s="2" t="s">
        <v>156</v>
      </c>
      <c r="F112" s="5"/>
      <c r="G112" s="4" t="n">
        <v>1</v>
      </c>
      <c r="H112" s="1"/>
      <c r="I112" s="1"/>
      <c r="J112" s="1"/>
      <c r="K112" s="1"/>
      <c r="L112" s="1"/>
      <c r="M112" s="1"/>
      <c r="N112" s="1"/>
      <c r="P112" s="28"/>
      <c r="Q112" s="28" t="s">
        <v>159</v>
      </c>
      <c r="R112" s="29" t="n">
        <f aca="false">R111+H112</f>
        <v>0</v>
      </c>
    </row>
    <row r="113" customFormat="false" ht="13.8" hidden="false" customHeight="false" outlineLevel="0" collapsed="false">
      <c r="A113" s="1" t="s">
        <v>155</v>
      </c>
      <c r="B113" s="2" t="n">
        <v>45903</v>
      </c>
      <c r="C113" s="2" t="n">
        <f aca="false">B113</f>
        <v>45903</v>
      </c>
      <c r="D113" s="1"/>
      <c r="E113" s="2" t="s">
        <v>156</v>
      </c>
      <c r="F113" s="5"/>
      <c r="G113" s="4" t="n">
        <v>1</v>
      </c>
      <c r="H113" s="1"/>
      <c r="I113" s="1"/>
      <c r="J113" s="1"/>
      <c r="K113" s="1"/>
      <c r="L113" s="1"/>
      <c r="M113" s="1"/>
      <c r="N113" s="1"/>
      <c r="P113" s="28"/>
      <c r="Q113" s="28" t="s">
        <v>159</v>
      </c>
      <c r="R113" s="29" t="n">
        <f aca="false">R112+H113</f>
        <v>0</v>
      </c>
    </row>
    <row r="114" customFormat="false" ht="13.8" hidden="false" customHeight="false" outlineLevel="0" collapsed="false">
      <c r="A114" s="1" t="s">
        <v>155</v>
      </c>
      <c r="B114" s="2" t="n">
        <v>45917</v>
      </c>
      <c r="C114" s="2" t="n">
        <f aca="false">B114</f>
        <v>45917</v>
      </c>
      <c r="D114" s="1"/>
      <c r="E114" s="2" t="s">
        <v>156</v>
      </c>
      <c r="F114" s="5"/>
      <c r="G114" s="4" t="n">
        <v>1</v>
      </c>
      <c r="H114" s="1"/>
      <c r="I114" s="1"/>
      <c r="J114" s="1"/>
      <c r="K114" s="1"/>
      <c r="L114" s="1"/>
      <c r="M114" s="1"/>
      <c r="N114" s="1"/>
      <c r="P114" s="28"/>
      <c r="Q114" s="28" t="s">
        <v>159</v>
      </c>
      <c r="R114" s="29" t="n">
        <f aca="false">R113+H114</f>
        <v>0</v>
      </c>
    </row>
    <row r="115" customFormat="false" ht="13.8" hidden="false" customHeight="false" outlineLevel="0" collapsed="false">
      <c r="A115" s="1" t="s">
        <v>155</v>
      </c>
      <c r="B115" s="2" t="n">
        <v>45931</v>
      </c>
      <c r="C115" s="2" t="n">
        <f aca="false">B115</f>
        <v>45931</v>
      </c>
      <c r="D115" s="1"/>
      <c r="E115" s="2" t="s">
        <v>156</v>
      </c>
      <c r="F115" s="5"/>
      <c r="G115" s="4" t="n">
        <v>1</v>
      </c>
      <c r="H115" s="1"/>
      <c r="I115" s="1"/>
      <c r="J115" s="1"/>
      <c r="K115" s="1"/>
      <c r="L115" s="1"/>
      <c r="M115" s="1"/>
      <c r="N115" s="1"/>
      <c r="P115" s="28"/>
      <c r="Q115" s="28" t="s">
        <v>159</v>
      </c>
      <c r="R115" s="29" t="n">
        <f aca="false">R114+H115</f>
        <v>0</v>
      </c>
    </row>
    <row r="116" customFormat="false" ht="13.8" hidden="false" customHeight="false" outlineLevel="0" collapsed="false">
      <c r="A116" s="1" t="s">
        <v>155</v>
      </c>
      <c r="B116" s="2" t="n">
        <v>45945</v>
      </c>
      <c r="C116" s="2" t="n">
        <f aca="false">B116</f>
        <v>45945</v>
      </c>
      <c r="D116" s="1"/>
      <c r="E116" s="2" t="s">
        <v>156</v>
      </c>
      <c r="F116" s="5"/>
      <c r="G116" s="4" t="n">
        <v>1</v>
      </c>
      <c r="H116" s="1"/>
      <c r="I116" s="1"/>
      <c r="J116" s="1"/>
      <c r="K116" s="1"/>
      <c r="L116" s="1"/>
      <c r="M116" s="1"/>
      <c r="N116" s="1"/>
      <c r="P116" s="28"/>
      <c r="Q116" s="28" t="s">
        <v>159</v>
      </c>
      <c r="R116" s="29" t="n">
        <f aca="false">R115+H116</f>
        <v>0</v>
      </c>
    </row>
    <row r="117" customFormat="false" ht="13.8" hidden="false" customHeight="false" outlineLevel="0" collapsed="false">
      <c r="A117" s="1" t="s">
        <v>155</v>
      </c>
      <c r="B117" s="2" t="n">
        <v>45959</v>
      </c>
      <c r="C117" s="2" t="n">
        <f aca="false">B117</f>
        <v>45959</v>
      </c>
      <c r="D117" s="1"/>
      <c r="E117" s="2" t="s">
        <v>156</v>
      </c>
      <c r="F117" s="5"/>
      <c r="G117" s="4" t="n">
        <v>1</v>
      </c>
      <c r="H117" s="1"/>
      <c r="I117" s="1"/>
      <c r="J117" s="1"/>
      <c r="K117" s="1"/>
      <c r="L117" s="1"/>
      <c r="M117" s="1"/>
      <c r="N117" s="1"/>
      <c r="P117" s="28"/>
      <c r="Q117" s="28" t="s">
        <v>159</v>
      </c>
      <c r="R117" s="29" t="n">
        <f aca="false">R116+H117</f>
        <v>0</v>
      </c>
    </row>
    <row r="118" customFormat="false" ht="13.8" hidden="false" customHeight="false" outlineLevel="0" collapsed="false">
      <c r="A118" s="1" t="s">
        <v>155</v>
      </c>
      <c r="B118" s="2" t="n">
        <v>45973</v>
      </c>
      <c r="C118" s="2" t="n">
        <f aca="false">B118</f>
        <v>45973</v>
      </c>
      <c r="D118" s="1"/>
      <c r="E118" s="2" t="s">
        <v>156</v>
      </c>
      <c r="F118" s="5"/>
      <c r="G118" s="4" t="n">
        <v>1</v>
      </c>
      <c r="H118" s="1"/>
      <c r="I118" s="1"/>
      <c r="J118" s="1"/>
      <c r="K118" s="1"/>
      <c r="L118" s="1"/>
      <c r="M118" s="1"/>
      <c r="N118" s="1"/>
      <c r="P118" s="28"/>
      <c r="Q118" s="28" t="s">
        <v>159</v>
      </c>
      <c r="R118" s="29" t="n">
        <f aca="false">R117+H118</f>
        <v>0</v>
      </c>
    </row>
    <row r="119" customFormat="false" ht="13.8" hidden="false" customHeight="false" outlineLevel="0" collapsed="false">
      <c r="A119" s="1" t="s">
        <v>155</v>
      </c>
      <c r="B119" s="2" t="n">
        <v>45987</v>
      </c>
      <c r="C119" s="2" t="n">
        <f aca="false">B119</f>
        <v>45987</v>
      </c>
      <c r="D119" s="1"/>
      <c r="E119" s="2" t="s">
        <v>156</v>
      </c>
      <c r="F119" s="5"/>
      <c r="G119" s="4" t="n">
        <v>1</v>
      </c>
      <c r="H119" s="1"/>
      <c r="I119" s="1"/>
      <c r="J119" s="1"/>
      <c r="K119" s="1"/>
      <c r="L119" s="1"/>
      <c r="M119" s="1"/>
      <c r="N119" s="1"/>
      <c r="P119" s="28"/>
      <c r="Q119" s="28" t="s">
        <v>159</v>
      </c>
      <c r="R119" s="29" t="n">
        <f aca="false">R118+H119</f>
        <v>0</v>
      </c>
    </row>
    <row r="120" customFormat="false" ht="13.8" hidden="false" customHeight="false" outlineLevel="0" collapsed="false">
      <c r="A120" s="7" t="s">
        <v>155</v>
      </c>
      <c r="B120" s="8" t="n">
        <v>46001</v>
      </c>
      <c r="C120" s="8" t="n">
        <f aca="false">B120</f>
        <v>46001</v>
      </c>
      <c r="D120" s="7"/>
      <c r="E120" s="2" t="s">
        <v>156</v>
      </c>
      <c r="F120" s="10"/>
      <c r="G120" s="11" t="n">
        <v>1</v>
      </c>
      <c r="H120" s="1"/>
      <c r="I120" s="1"/>
      <c r="J120" s="1"/>
      <c r="K120" s="1"/>
      <c r="L120" s="1"/>
      <c r="M120" s="1"/>
      <c r="N120" s="1"/>
      <c r="O120" s="7"/>
      <c r="P120" s="30"/>
      <c r="Q120" s="28" t="s">
        <v>159</v>
      </c>
      <c r="R120" s="29" t="n">
        <f aca="false">R119+H120</f>
        <v>0</v>
      </c>
    </row>
    <row r="121" customFormat="false" ht="13.8" hidden="false" customHeight="false" outlineLevel="0" collapsed="false">
      <c r="A121" s="1" t="s">
        <v>155</v>
      </c>
      <c r="B121" s="2" t="n">
        <v>46017</v>
      </c>
      <c r="C121" s="2" t="n">
        <f aca="false">B121</f>
        <v>46017</v>
      </c>
      <c r="D121" s="1"/>
      <c r="E121" s="2" t="s">
        <v>156</v>
      </c>
      <c r="F121" s="5"/>
      <c r="G121" s="4" t="n">
        <v>1</v>
      </c>
      <c r="H121" s="1"/>
      <c r="I121" s="1"/>
      <c r="J121" s="1"/>
      <c r="K121" s="1"/>
      <c r="L121" s="1"/>
      <c r="M121" s="1"/>
      <c r="N121" s="1"/>
      <c r="P121" s="28"/>
      <c r="Q121" s="28" t="s">
        <v>159</v>
      </c>
      <c r="R121" s="29" t="n">
        <f aca="false">R120+H121</f>
        <v>0</v>
      </c>
    </row>
    <row r="122" customFormat="false" ht="13.8" hidden="false" customHeight="false" outlineLevel="0" collapsed="false">
      <c r="A122" s="13" t="s">
        <v>155</v>
      </c>
      <c r="B122" s="33" t="n">
        <v>46023</v>
      </c>
      <c r="C122" s="33" t="n">
        <v>46023</v>
      </c>
      <c r="D122" s="1"/>
      <c r="E122" s="2" t="s">
        <v>156</v>
      </c>
      <c r="F122" s="1"/>
      <c r="G122" s="4" t="n">
        <v>1</v>
      </c>
      <c r="H122" s="1"/>
      <c r="I122" s="28"/>
      <c r="J122" s="28"/>
      <c r="K122" s="28"/>
      <c r="L122" s="28"/>
      <c r="M122" s="28"/>
      <c r="N122" s="28"/>
      <c r="P122" s="28"/>
      <c r="Q122" s="1"/>
      <c r="R122" s="1"/>
    </row>
    <row r="123" customFormat="false" ht="13.8" hidden="false" customHeight="false" outlineLevel="0" collapsed="false">
      <c r="A123" s="13" t="s">
        <v>155</v>
      </c>
      <c r="B123" s="33" t="n">
        <v>46023</v>
      </c>
      <c r="C123" s="33" t="n">
        <v>46023</v>
      </c>
      <c r="D123" s="1"/>
      <c r="E123" s="2" t="s">
        <v>156</v>
      </c>
      <c r="F123" s="1"/>
      <c r="G123" s="4" t="n">
        <v>1</v>
      </c>
      <c r="H123" s="1"/>
      <c r="I123" s="28"/>
      <c r="J123" s="28"/>
      <c r="K123" s="28"/>
      <c r="L123" s="28"/>
      <c r="M123" s="28"/>
      <c r="N123" s="28"/>
      <c r="P123" s="28"/>
      <c r="Q123" s="1"/>
      <c r="R123" s="1"/>
    </row>
    <row r="124" customFormat="false" ht="13.8" hidden="false" customHeight="false" outlineLevel="0" collapsed="false">
      <c r="A124" s="1" t="s">
        <v>261</v>
      </c>
      <c r="E124" s="17" t="n">
        <v>45904</v>
      </c>
      <c r="H124" s="34" t="n">
        <v>-37500</v>
      </c>
      <c r="I124" s="35" t="n">
        <f aca="false">IF(H124&lt;0,H124,0)</f>
        <v>-37500</v>
      </c>
      <c r="J124" s="35" t="n">
        <f aca="false">IF(H124&gt;0,H124,0)</f>
        <v>0</v>
      </c>
      <c r="K124" s="35" t="n">
        <f aca="false">K123+I124</f>
        <v>-37500</v>
      </c>
      <c r="L124" s="35" t="n">
        <f aca="false">L123+J124</f>
        <v>0</v>
      </c>
      <c r="M124" s="35" t="n">
        <f aca="false">M123+H124</f>
        <v>-37500</v>
      </c>
    </row>
    <row r="125" customFormat="false" ht="13.8" hidden="false" customHeight="false" outlineLevel="0" collapsed="false">
      <c r="A125" s="1" t="s">
        <v>261</v>
      </c>
      <c r="E125" s="17" t="n">
        <v>45906</v>
      </c>
      <c r="H125" s="34" t="n">
        <v>-25000</v>
      </c>
      <c r="I125" s="35" t="n">
        <f aca="false">IF(H125&lt;0,H125,0)</f>
        <v>-25000</v>
      </c>
      <c r="J125" s="35" t="n">
        <f aca="false">IF(H125&gt;0,H125,0)</f>
        <v>0</v>
      </c>
      <c r="K125" s="35" t="n">
        <f aca="false">K124+I125</f>
        <v>-62500</v>
      </c>
      <c r="L125" s="35" t="n">
        <f aca="false">L124+J125</f>
        <v>0</v>
      </c>
      <c r="M125" s="35" t="n">
        <f aca="false">M124+H125</f>
        <v>-62500</v>
      </c>
    </row>
    <row r="126" customFormat="false" ht="13.8" hidden="false" customHeight="false" outlineLevel="0" collapsed="false">
      <c r="A126" s="1" t="s">
        <v>261</v>
      </c>
      <c r="E126" s="17" t="n">
        <v>45923</v>
      </c>
      <c r="H126" s="34" t="n">
        <v>-25000</v>
      </c>
      <c r="I126" s="35" t="n">
        <f aca="false">IF(H126&lt;0,H126,0)</f>
        <v>-25000</v>
      </c>
      <c r="J126" s="35" t="n">
        <f aca="false">IF(H126&gt;0,H126,0)</f>
        <v>0</v>
      </c>
      <c r="K126" s="35" t="n">
        <f aca="false">K125+I126</f>
        <v>-87500</v>
      </c>
      <c r="L126" s="35" t="n">
        <f aca="false">L125+J126</f>
        <v>0</v>
      </c>
      <c r="M126" s="35" t="n">
        <f aca="false">M125+H126</f>
        <v>-87500</v>
      </c>
    </row>
    <row r="127" customFormat="false" ht="13.8" hidden="false" customHeight="false" outlineLevel="0" collapsed="false">
      <c r="A127" s="1" t="s">
        <v>261</v>
      </c>
      <c r="E127" s="17" t="n">
        <v>45940</v>
      </c>
      <c r="H127" s="34" t="n">
        <v>-50000</v>
      </c>
      <c r="I127" s="35" t="n">
        <f aca="false">IF(H127&lt;0,H127,0)</f>
        <v>-50000</v>
      </c>
      <c r="J127" s="35" t="n">
        <f aca="false">IF(H127&gt;0,H127,0)</f>
        <v>0</v>
      </c>
      <c r="K127" s="35" t="n">
        <f aca="false">K126+I127</f>
        <v>-137500</v>
      </c>
      <c r="L127" s="35" t="n">
        <f aca="false">L126+J127</f>
        <v>0</v>
      </c>
      <c r="M127" s="35" t="n">
        <f aca="false">M126+H127</f>
        <v>-137500</v>
      </c>
    </row>
    <row r="128" customFormat="false" ht="13.8" hidden="false" customHeight="false" outlineLevel="0" collapsed="false">
      <c r="A128" s="1" t="s">
        <v>261</v>
      </c>
      <c r="E128" s="17" t="n">
        <v>45947</v>
      </c>
      <c r="H128" s="34" t="n">
        <v>-75000</v>
      </c>
      <c r="I128" s="35" t="n">
        <f aca="false">IF(H128&lt;0,H128,0)</f>
        <v>-75000</v>
      </c>
      <c r="J128" s="35" t="n">
        <f aca="false">IF(H128&gt;0,H128,0)</f>
        <v>0</v>
      </c>
      <c r="K128" s="35" t="n">
        <f aca="false">K127+I128</f>
        <v>-212500</v>
      </c>
      <c r="L128" s="35" t="n">
        <f aca="false">L127+J128</f>
        <v>0</v>
      </c>
      <c r="M128" s="35" t="n">
        <f aca="false">M127+H128</f>
        <v>-212500</v>
      </c>
    </row>
    <row r="129" customFormat="false" ht="13.8" hidden="false" customHeight="false" outlineLevel="0" collapsed="false">
      <c r="A129" s="1" t="s">
        <v>261</v>
      </c>
      <c r="E129" s="17" t="n">
        <v>45954</v>
      </c>
      <c r="H129" s="34" t="n">
        <v>-122000</v>
      </c>
      <c r="I129" s="35" t="n">
        <f aca="false">IF(H129&lt;0,H129,0)</f>
        <v>-122000</v>
      </c>
      <c r="J129" s="35" t="n">
        <f aca="false">IF(H129&gt;0,H129,0)</f>
        <v>0</v>
      </c>
      <c r="K129" s="35" t="n">
        <f aca="false">K128+I129</f>
        <v>-334500</v>
      </c>
      <c r="L129" s="35" t="n">
        <f aca="false">L128+J129</f>
        <v>0</v>
      </c>
      <c r="M129" s="35" t="n">
        <f aca="false">M128+H129</f>
        <v>-334500</v>
      </c>
    </row>
    <row r="130" customFormat="false" ht="13.8" hidden="false" customHeight="false" outlineLevel="0" collapsed="false">
      <c r="A130" s="1" t="s">
        <v>261</v>
      </c>
      <c r="E130" s="17" t="n">
        <v>45989</v>
      </c>
      <c r="H130" s="34" t="n">
        <v>-25000</v>
      </c>
      <c r="I130" s="35" t="n">
        <f aca="false">IF(H130&lt;0,H130,0)</f>
        <v>-25000</v>
      </c>
      <c r="J130" s="35" t="n">
        <f aca="false">IF(H130&gt;0,H130,0)</f>
        <v>0</v>
      </c>
      <c r="K130" s="35" t="n">
        <f aca="false">K129+I130</f>
        <v>-359500</v>
      </c>
      <c r="L130" s="35" t="n">
        <f aca="false">L129+J130</f>
        <v>0</v>
      </c>
      <c r="M130" s="35" t="n">
        <f aca="false">M129+H130</f>
        <v>-359500</v>
      </c>
    </row>
    <row r="131" customFormat="false" ht="13.8" hidden="false" customHeight="false" outlineLevel="0" collapsed="false">
      <c r="A131" s="1" t="s">
        <v>261</v>
      </c>
      <c r="E131" s="17" t="n">
        <v>46037</v>
      </c>
      <c r="H131" s="34" t="n">
        <v>-150000</v>
      </c>
      <c r="I131" s="35" t="n">
        <f aca="false">IF(H131&lt;0,H131,0)</f>
        <v>-150000</v>
      </c>
      <c r="J131" s="35" t="n">
        <f aca="false">IF(H131&gt;0,H131,0)</f>
        <v>0</v>
      </c>
      <c r="K131" s="35" t="n">
        <f aca="false">K130+I131</f>
        <v>-509500</v>
      </c>
      <c r="L131" s="35" t="n">
        <f aca="false">L130+J131</f>
        <v>0</v>
      </c>
      <c r="M131" s="35" t="n">
        <f aca="false">M130+H131</f>
        <v>-509500</v>
      </c>
    </row>
    <row r="133" customFormat="false" ht="13.8" hidden="false" customHeight="false" outlineLevel="0" collapsed="false">
      <c r="H133" s="1"/>
      <c r="I133" s="1"/>
      <c r="J133" s="1"/>
      <c r="K133" s="1"/>
      <c r="L133" s="1"/>
      <c r="M133" s="1"/>
      <c r="N133" s="1"/>
    </row>
  </sheetData>
  <autoFilter ref="A1:S13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3509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2025-12-26T16:12:46Z</dcterms:created>
  <dc:creator>Rad Citi</dc:creator>
  <dc:description/>
  <dc:language>en-US</dc:language>
  <cp:lastModifiedBy/>
  <dcterms:modified xsi:type="dcterms:W3CDTF">2026-02-17T15:18:24Z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